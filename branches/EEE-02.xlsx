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un\Desktop\"/>
    </mc:Choice>
  </mc:AlternateContent>
  <xr:revisionPtr revIDLastSave="0" documentId="13_ncr:1_{FFF7E02E-DB08-4033-AF68-096273FAF5DA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15-12-2025" sheetId="1" r:id="rId1"/>
    <sheet name="31-12-2025" sheetId="2" r:id="rId2"/>
    <sheet name="10-01-2026" sheetId="3" r:id="rId3"/>
    <sheet name=" 31-01-2026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8" i="4" l="1"/>
  <c r="AJ48" i="4" s="1"/>
  <c r="AH48" i="4"/>
  <c r="AI47" i="4"/>
  <c r="AJ47" i="4" s="1"/>
  <c r="AH47" i="4"/>
  <c r="AI46" i="4"/>
  <c r="AJ46" i="4" s="1"/>
  <c r="AH46" i="4"/>
  <c r="AJ45" i="4"/>
  <c r="AI45" i="4"/>
  <c r="AH45" i="4"/>
  <c r="AI44" i="4"/>
  <c r="AH44" i="4"/>
  <c r="AJ44" i="4" s="1"/>
  <c r="AI43" i="4"/>
  <c r="AJ43" i="4" s="1"/>
  <c r="AH43" i="4"/>
  <c r="AI42" i="4"/>
  <c r="AH42" i="4"/>
  <c r="AJ42" i="4" s="1"/>
  <c r="AI41" i="4"/>
  <c r="AJ41" i="4" s="1"/>
  <c r="AH41" i="4"/>
  <c r="AI40" i="4"/>
  <c r="AJ40" i="4" s="1"/>
  <c r="AH40" i="4"/>
  <c r="AI39" i="4"/>
  <c r="AJ39" i="4" s="1"/>
  <c r="AH39" i="4"/>
  <c r="AI38" i="4"/>
  <c r="AJ38" i="4" s="1"/>
  <c r="AH38" i="4"/>
  <c r="AJ37" i="4"/>
  <c r="AI37" i="4"/>
  <c r="AH37" i="4"/>
  <c r="AI36" i="4"/>
  <c r="AH36" i="4"/>
  <c r="AJ36" i="4" s="1"/>
  <c r="AI35" i="4"/>
  <c r="AJ35" i="4" s="1"/>
  <c r="AH35" i="4"/>
  <c r="AI34" i="4"/>
  <c r="AH34" i="4"/>
  <c r="AJ34" i="4" s="1"/>
  <c r="AI33" i="4"/>
  <c r="AJ33" i="4" s="1"/>
  <c r="AH33" i="4"/>
  <c r="AI32" i="4"/>
  <c r="AJ32" i="4" s="1"/>
  <c r="AH32" i="4"/>
  <c r="AI31" i="4"/>
  <c r="AJ31" i="4" s="1"/>
  <c r="AH31" i="4"/>
  <c r="AI30" i="4"/>
  <c r="AJ30" i="4" s="1"/>
  <c r="AH30" i="4"/>
  <c r="AJ29" i="4"/>
  <c r="AI29" i="4"/>
  <c r="AH29" i="4"/>
  <c r="AI28" i="4"/>
  <c r="AH28" i="4"/>
  <c r="AJ28" i="4" s="1"/>
  <c r="AI27" i="4"/>
  <c r="AJ27" i="4" s="1"/>
  <c r="AH27" i="4"/>
  <c r="AI26" i="4"/>
  <c r="AH26" i="4"/>
  <c r="AJ26" i="4" s="1"/>
  <c r="AI25" i="4"/>
  <c r="AJ25" i="4" s="1"/>
  <c r="AH25" i="4"/>
  <c r="AI24" i="4"/>
  <c r="AJ24" i="4" s="1"/>
  <c r="AH24" i="4"/>
  <c r="AI23" i="4"/>
  <c r="AJ23" i="4" s="1"/>
  <c r="AH23" i="4"/>
  <c r="AI22" i="4"/>
  <c r="AJ22" i="4" s="1"/>
  <c r="AH22" i="4"/>
  <c r="AJ21" i="4"/>
  <c r="AI21" i="4"/>
  <c r="AH21" i="4"/>
  <c r="AI20" i="4"/>
  <c r="AH20" i="4"/>
  <c r="AJ20" i="4" s="1"/>
  <c r="AI19" i="4"/>
  <c r="AJ19" i="4" s="1"/>
  <c r="AH19" i="4"/>
  <c r="AI18" i="4"/>
  <c r="AH18" i="4"/>
  <c r="AJ18" i="4" s="1"/>
  <c r="AI17" i="4"/>
  <c r="AJ17" i="4" s="1"/>
  <c r="AH17" i="4"/>
  <c r="AI16" i="4"/>
  <c r="AJ16" i="4" s="1"/>
  <c r="AH16" i="4"/>
  <c r="AI15" i="4"/>
  <c r="AJ15" i="4" s="1"/>
  <c r="AH15" i="4"/>
  <c r="AI14" i="4"/>
  <c r="AJ14" i="4" s="1"/>
  <c r="AH14" i="4"/>
  <c r="AJ13" i="4"/>
  <c r="AI13" i="4"/>
  <c r="AH13" i="4"/>
  <c r="AI12" i="4"/>
  <c r="AH12" i="4"/>
  <c r="AJ12" i="4" s="1"/>
  <c r="AI11" i="4"/>
  <c r="AJ11" i="4" s="1"/>
  <c r="AH11" i="4"/>
  <c r="AI10" i="4"/>
  <c r="AH10" i="4"/>
  <c r="AJ10" i="4" s="1"/>
  <c r="AI9" i="4"/>
  <c r="AJ9" i="4" s="1"/>
  <c r="AH9" i="4"/>
  <c r="AI8" i="4"/>
  <c r="AJ8" i="4" s="1"/>
  <c r="AH8" i="4"/>
  <c r="AI7" i="4"/>
  <c r="AJ7" i="4" s="1"/>
  <c r="AH7" i="4"/>
  <c r="AI6" i="4"/>
  <c r="AJ6" i="4" s="1"/>
  <c r="AH6" i="4"/>
  <c r="AJ5" i="4"/>
  <c r="AI5" i="4"/>
  <c r="AH5" i="4"/>
  <c r="AI48" i="3"/>
  <c r="AH48" i="3"/>
  <c r="AJ48" i="3" s="1"/>
  <c r="AI47" i="3"/>
  <c r="AJ47" i="3" s="1"/>
  <c r="AH47" i="3"/>
  <c r="AI46" i="3"/>
  <c r="AJ46" i="3" s="1"/>
  <c r="AH46" i="3"/>
  <c r="AI45" i="3"/>
  <c r="AJ45" i="3" s="1"/>
  <c r="AH45" i="3"/>
  <c r="AI44" i="3"/>
  <c r="AJ44" i="3" s="1"/>
  <c r="AH44" i="3"/>
  <c r="AI43" i="3"/>
  <c r="AJ43" i="3" s="1"/>
  <c r="AH43" i="3"/>
  <c r="AI42" i="3"/>
  <c r="AJ42" i="3" s="1"/>
  <c r="AH42" i="3"/>
  <c r="AJ41" i="3"/>
  <c r="AI41" i="3"/>
  <c r="AH41" i="3"/>
  <c r="AI40" i="3"/>
  <c r="AH40" i="3"/>
  <c r="AJ40" i="3" s="1"/>
  <c r="AI39" i="3"/>
  <c r="AJ39" i="3" s="1"/>
  <c r="AH39" i="3"/>
  <c r="AI38" i="3"/>
  <c r="AJ38" i="3" s="1"/>
  <c r="AH38" i="3"/>
  <c r="AI37" i="3"/>
  <c r="AJ37" i="3" s="1"/>
  <c r="AH37" i="3"/>
  <c r="AI36" i="3"/>
  <c r="AJ36" i="3" s="1"/>
  <c r="AH36" i="3"/>
  <c r="AI35" i="3"/>
  <c r="AJ35" i="3" s="1"/>
  <c r="AH35" i="3"/>
  <c r="AI34" i="3"/>
  <c r="AJ34" i="3" s="1"/>
  <c r="AH34" i="3"/>
  <c r="AJ33" i="3"/>
  <c r="AI33" i="3"/>
  <c r="AH33" i="3"/>
  <c r="AI32" i="3"/>
  <c r="AH32" i="3"/>
  <c r="AJ32" i="3" s="1"/>
  <c r="AI31" i="3"/>
  <c r="AJ31" i="3" s="1"/>
  <c r="AH31" i="3"/>
  <c r="AI30" i="3"/>
  <c r="AJ30" i="3" s="1"/>
  <c r="AH30" i="3"/>
  <c r="AI29" i="3"/>
  <c r="AJ29" i="3" s="1"/>
  <c r="AH29" i="3"/>
  <c r="AI28" i="3"/>
  <c r="AJ28" i="3" s="1"/>
  <c r="AH28" i="3"/>
  <c r="AI27" i="3"/>
  <c r="AJ27" i="3" s="1"/>
  <c r="AH27" i="3"/>
  <c r="AI26" i="3"/>
  <c r="AJ26" i="3" s="1"/>
  <c r="AH26" i="3"/>
  <c r="AJ25" i="3"/>
  <c r="AI25" i="3"/>
  <c r="AH25" i="3"/>
  <c r="AI24" i="3"/>
  <c r="AH24" i="3"/>
  <c r="AJ24" i="3" s="1"/>
  <c r="AI23" i="3"/>
  <c r="AJ23" i="3" s="1"/>
  <c r="AH23" i="3"/>
  <c r="AI22" i="3"/>
  <c r="AJ22" i="3" s="1"/>
  <c r="AH22" i="3"/>
  <c r="AI21" i="3"/>
  <c r="AJ21" i="3" s="1"/>
  <c r="AH21" i="3"/>
  <c r="AI20" i="3"/>
  <c r="AJ20" i="3" s="1"/>
  <c r="AH20" i="3"/>
  <c r="AI19" i="3"/>
  <c r="AJ19" i="3" s="1"/>
  <c r="AH19" i="3"/>
  <c r="AI18" i="3"/>
  <c r="AJ18" i="3" s="1"/>
  <c r="AH18" i="3"/>
  <c r="AJ17" i="3"/>
  <c r="AI17" i="3"/>
  <c r="AH17" i="3"/>
  <c r="AI16" i="3"/>
  <c r="AH16" i="3"/>
  <c r="AJ16" i="3" s="1"/>
  <c r="AI15" i="3"/>
  <c r="AJ15" i="3" s="1"/>
  <c r="AH15" i="3"/>
  <c r="AI14" i="3"/>
  <c r="AJ14" i="3" s="1"/>
  <c r="AH14" i="3"/>
  <c r="AI13" i="3"/>
  <c r="AJ13" i="3" s="1"/>
  <c r="AH13" i="3"/>
  <c r="AI12" i="3"/>
  <c r="AJ12" i="3" s="1"/>
  <c r="AH12" i="3"/>
  <c r="AI11" i="3"/>
  <c r="AJ11" i="3" s="1"/>
  <c r="AH11" i="3"/>
  <c r="AI10" i="3"/>
  <c r="AJ10" i="3" s="1"/>
  <c r="AH10" i="3"/>
  <c r="AJ9" i="3"/>
  <c r="AI9" i="3"/>
  <c r="AH9" i="3"/>
  <c r="AI8" i="3"/>
  <c r="AH8" i="3"/>
  <c r="AJ8" i="3" s="1"/>
  <c r="AI7" i="3"/>
  <c r="AJ7" i="3" s="1"/>
  <c r="AH7" i="3"/>
  <c r="AI6" i="3"/>
  <c r="AJ6" i="3" s="1"/>
  <c r="AH6" i="3"/>
  <c r="AI5" i="3"/>
  <c r="AJ5" i="3" s="1"/>
  <c r="AH5" i="3"/>
  <c r="AI48" i="2"/>
  <c r="AJ48" i="2" s="1"/>
  <c r="AH48" i="2"/>
  <c r="AI47" i="2"/>
  <c r="AJ47" i="2" s="1"/>
  <c r="AH47" i="2"/>
  <c r="AI46" i="2"/>
  <c r="AJ46" i="2" s="1"/>
  <c r="AH46" i="2"/>
  <c r="AJ45" i="2"/>
  <c r="AI45" i="2"/>
  <c r="AH45" i="2"/>
  <c r="AI44" i="2"/>
  <c r="AH44" i="2"/>
  <c r="AJ44" i="2" s="1"/>
  <c r="AI43" i="2"/>
  <c r="AJ43" i="2" s="1"/>
  <c r="AH43" i="2"/>
  <c r="AI42" i="2"/>
  <c r="AJ42" i="2" s="1"/>
  <c r="AH42" i="2"/>
  <c r="AI41" i="2"/>
  <c r="AJ41" i="2" s="1"/>
  <c r="AH41" i="2"/>
  <c r="AI40" i="2"/>
  <c r="AJ40" i="2" s="1"/>
  <c r="AH40" i="2"/>
  <c r="AI39" i="2"/>
  <c r="AJ39" i="2" s="1"/>
  <c r="AH39" i="2"/>
  <c r="AI38" i="2"/>
  <c r="AJ38" i="2" s="1"/>
  <c r="AH38" i="2"/>
  <c r="AJ37" i="2"/>
  <c r="AI37" i="2"/>
  <c r="AH37" i="2"/>
  <c r="AI36" i="2"/>
  <c r="AH36" i="2"/>
  <c r="AJ36" i="2" s="1"/>
  <c r="AI35" i="2"/>
  <c r="AJ35" i="2" s="1"/>
  <c r="AH35" i="2"/>
  <c r="AI34" i="2"/>
  <c r="AJ34" i="2" s="1"/>
  <c r="AH34" i="2"/>
  <c r="AI33" i="2"/>
  <c r="AJ33" i="2" s="1"/>
  <c r="AH33" i="2"/>
  <c r="AI32" i="2"/>
  <c r="AJ32" i="2" s="1"/>
  <c r="AH32" i="2"/>
  <c r="AI31" i="2"/>
  <c r="AJ31" i="2" s="1"/>
  <c r="AH31" i="2"/>
  <c r="AI30" i="2"/>
  <c r="AJ30" i="2" s="1"/>
  <c r="AH30" i="2"/>
  <c r="AJ29" i="2"/>
  <c r="AI29" i="2"/>
  <c r="AH29" i="2"/>
  <c r="AI28" i="2"/>
  <c r="AH28" i="2"/>
  <c r="AJ28" i="2" s="1"/>
  <c r="AI27" i="2"/>
  <c r="AJ27" i="2" s="1"/>
  <c r="AH27" i="2"/>
  <c r="AI26" i="2"/>
  <c r="AJ26" i="2" s="1"/>
  <c r="AH26" i="2"/>
  <c r="AI25" i="2"/>
  <c r="AJ25" i="2" s="1"/>
  <c r="AH25" i="2"/>
  <c r="AI24" i="2"/>
  <c r="AJ24" i="2" s="1"/>
  <c r="AH24" i="2"/>
  <c r="AI23" i="2"/>
  <c r="AJ23" i="2" s="1"/>
  <c r="AH23" i="2"/>
  <c r="AI22" i="2"/>
  <c r="AJ22" i="2" s="1"/>
  <c r="AH22" i="2"/>
  <c r="AJ21" i="2"/>
  <c r="AI21" i="2"/>
  <c r="AH21" i="2"/>
  <c r="AI20" i="2"/>
  <c r="AH20" i="2"/>
  <c r="AJ20" i="2" s="1"/>
  <c r="AI19" i="2"/>
  <c r="AJ19" i="2" s="1"/>
  <c r="AH19" i="2"/>
  <c r="AI18" i="2"/>
  <c r="AJ18" i="2" s="1"/>
  <c r="AH18" i="2"/>
  <c r="AI17" i="2"/>
  <c r="AJ17" i="2" s="1"/>
  <c r="AH17" i="2"/>
  <c r="AI16" i="2"/>
  <c r="AJ16" i="2" s="1"/>
  <c r="AH16" i="2"/>
  <c r="AI15" i="2"/>
  <c r="AJ15" i="2" s="1"/>
  <c r="AH15" i="2"/>
  <c r="AI14" i="2"/>
  <c r="AJ14" i="2" s="1"/>
  <c r="AH14" i="2"/>
  <c r="AJ13" i="2"/>
  <c r="AI13" i="2"/>
  <c r="AH13" i="2"/>
  <c r="AI12" i="2"/>
  <c r="AH12" i="2"/>
  <c r="AJ12" i="2" s="1"/>
  <c r="AI11" i="2"/>
  <c r="AJ11" i="2" s="1"/>
  <c r="AH11" i="2"/>
  <c r="AI10" i="2"/>
  <c r="AJ10" i="2" s="1"/>
  <c r="AH10" i="2"/>
  <c r="AI9" i="2"/>
  <c r="AJ9" i="2" s="1"/>
  <c r="AH9" i="2"/>
  <c r="AI8" i="2"/>
  <c r="AJ8" i="2" s="1"/>
  <c r="AH8" i="2"/>
  <c r="AI7" i="2"/>
  <c r="AJ7" i="2" s="1"/>
  <c r="AH7" i="2"/>
  <c r="AI6" i="2"/>
  <c r="AJ6" i="2" s="1"/>
  <c r="AH6" i="2"/>
  <c r="AJ5" i="2"/>
  <c r="AI5" i="2"/>
  <c r="AH5" i="2"/>
  <c r="AI48" i="1"/>
  <c r="AH48" i="1"/>
  <c r="AJ48" i="1" s="1"/>
  <c r="AI47" i="1"/>
  <c r="AJ47" i="1" s="1"/>
  <c r="AH47" i="1"/>
  <c r="AI46" i="1"/>
  <c r="AJ46" i="1" s="1"/>
  <c r="AH46" i="1"/>
  <c r="AI45" i="1"/>
  <c r="AJ45" i="1" s="1"/>
  <c r="AH45" i="1"/>
  <c r="AI44" i="1"/>
  <c r="AJ44" i="1" s="1"/>
  <c r="AH44" i="1"/>
  <c r="AI43" i="1"/>
  <c r="AJ43" i="1" s="1"/>
  <c r="AH43" i="1"/>
  <c r="AI42" i="1"/>
  <c r="AJ42" i="1" s="1"/>
  <c r="AH42" i="1"/>
  <c r="AJ41" i="1"/>
  <c r="AI41" i="1"/>
  <c r="AH41" i="1"/>
  <c r="AI40" i="1"/>
  <c r="AH40" i="1"/>
  <c r="AJ40" i="1" s="1"/>
  <c r="AI39" i="1"/>
  <c r="AJ39" i="1" s="1"/>
  <c r="AH39" i="1"/>
  <c r="AI38" i="1"/>
  <c r="AJ38" i="1" s="1"/>
  <c r="AH38" i="1"/>
  <c r="AI37" i="1"/>
  <c r="AJ37" i="1" s="1"/>
  <c r="AH37" i="1"/>
  <c r="AI36" i="1"/>
  <c r="AJ36" i="1" s="1"/>
  <c r="AH36" i="1"/>
  <c r="AI35" i="1"/>
  <c r="AJ35" i="1" s="1"/>
  <c r="AH35" i="1"/>
  <c r="AI34" i="1"/>
  <c r="AJ34" i="1" s="1"/>
  <c r="AH34" i="1"/>
  <c r="AJ33" i="1"/>
  <c r="AI33" i="1"/>
  <c r="AH33" i="1"/>
  <c r="AI32" i="1"/>
  <c r="AH32" i="1"/>
  <c r="AJ32" i="1" s="1"/>
  <c r="AI31" i="1"/>
  <c r="AJ31" i="1" s="1"/>
  <c r="AH31" i="1"/>
  <c r="AI30" i="1"/>
  <c r="AJ30" i="1" s="1"/>
  <c r="AH30" i="1"/>
  <c r="AI29" i="1"/>
  <c r="AJ29" i="1" s="1"/>
  <c r="AH29" i="1"/>
  <c r="AI28" i="1"/>
  <c r="AJ28" i="1" s="1"/>
  <c r="AH28" i="1"/>
  <c r="AI27" i="1"/>
  <c r="AJ27" i="1" s="1"/>
  <c r="AH27" i="1"/>
  <c r="AI26" i="1"/>
  <c r="AJ26" i="1" s="1"/>
  <c r="AH26" i="1"/>
  <c r="AJ25" i="1"/>
  <c r="AI25" i="1"/>
  <c r="AH25" i="1"/>
  <c r="AI24" i="1"/>
  <c r="AH24" i="1"/>
  <c r="AJ24" i="1" s="1"/>
  <c r="AI23" i="1"/>
  <c r="AJ23" i="1" s="1"/>
  <c r="AH23" i="1"/>
  <c r="AI22" i="1"/>
  <c r="AJ22" i="1" s="1"/>
  <c r="AH22" i="1"/>
  <c r="AI21" i="1"/>
  <c r="AJ21" i="1" s="1"/>
  <c r="AH21" i="1"/>
  <c r="AI20" i="1"/>
  <c r="AJ20" i="1" s="1"/>
  <c r="AH20" i="1"/>
  <c r="AI19" i="1"/>
  <c r="AJ19" i="1" s="1"/>
  <c r="AH19" i="1"/>
  <c r="AI18" i="1"/>
  <c r="AJ18" i="1" s="1"/>
  <c r="AH18" i="1"/>
  <c r="AJ17" i="1"/>
  <c r="AI17" i="1"/>
  <c r="AH17" i="1"/>
  <c r="AI16" i="1"/>
  <c r="AH16" i="1"/>
  <c r="AJ16" i="1" s="1"/>
  <c r="AI15" i="1"/>
  <c r="AJ15" i="1" s="1"/>
  <c r="AH15" i="1"/>
  <c r="AI14" i="1"/>
  <c r="AJ14" i="1" s="1"/>
  <c r="AH14" i="1"/>
  <c r="AI13" i="1"/>
  <c r="AJ13" i="1" s="1"/>
  <c r="AH13" i="1"/>
  <c r="AI12" i="1"/>
  <c r="AJ12" i="1" s="1"/>
  <c r="AH12" i="1"/>
  <c r="AI11" i="1"/>
  <c r="AJ11" i="1" s="1"/>
  <c r="AH11" i="1"/>
  <c r="AI10" i="1"/>
  <c r="AJ10" i="1" s="1"/>
  <c r="AH10" i="1"/>
  <c r="AJ9" i="1"/>
  <c r="AI9" i="1"/>
  <c r="AH9" i="1"/>
  <c r="AI8" i="1"/>
  <c r="AH8" i="1"/>
  <c r="AJ8" i="1" s="1"/>
  <c r="AI7" i="1"/>
  <c r="AJ7" i="1" s="1"/>
  <c r="AH7" i="1"/>
  <c r="AI6" i="1"/>
  <c r="AJ6" i="1" s="1"/>
  <c r="AH6" i="1"/>
  <c r="AI5" i="1"/>
  <c r="AJ5" i="1" s="1"/>
  <c r="AH5" i="1"/>
</calcChain>
</file>

<file path=xl/sharedStrings.xml><?xml version="1.0" encoding="utf-8"?>
<sst xmlns="http://schemas.openxmlformats.org/spreadsheetml/2006/main" count="732" uniqueCount="139">
  <si>
    <t>ANDHRA LOYOLA INSTITUTE OF ENGINEERING AND TECHNOLOGY:: VIJAYAWADA</t>
  </si>
  <si>
    <r>
      <rPr>
        <b/>
        <sz val="12"/>
        <color theme="1"/>
        <rFont val="Calibri"/>
      </rPr>
      <t xml:space="preserve">III B Tech II SEM ATTENDANCE from </t>
    </r>
    <r>
      <rPr>
        <b/>
        <sz val="12"/>
        <color rgb="FFFF0000"/>
        <rFont val="Calibri"/>
      </rPr>
      <t>1-12-2025</t>
    </r>
    <r>
      <rPr>
        <b/>
        <sz val="12"/>
        <color theme="1"/>
        <rFont val="Calibri"/>
      </rPr>
      <t xml:space="preserve"> to </t>
    </r>
    <r>
      <rPr>
        <b/>
        <sz val="12"/>
        <color rgb="FFFF0000"/>
        <rFont val="Calibri"/>
      </rPr>
      <t>15-12-2025</t>
    </r>
    <r>
      <rPr>
        <b/>
        <sz val="12"/>
        <color theme="1"/>
        <rFont val="Calibri"/>
      </rPr>
      <t xml:space="preserve">  AY:2025-2026                                  Branch:EEE</t>
    </r>
  </si>
  <si>
    <t>S.No</t>
  </si>
  <si>
    <r>
      <rPr>
        <sz val="10"/>
        <rFont val="Arial"/>
      </rPr>
      <t>R</t>
    </r>
    <r>
      <rPr>
        <u/>
        <sz val="10"/>
        <color rgb="FF1155CC"/>
        <rFont val="Arial"/>
      </rPr>
      <t>eg.No</t>
    </r>
    <r>
      <rPr>
        <sz val="10"/>
        <rFont val="Arial"/>
      </rPr>
      <t>.</t>
    </r>
  </si>
  <si>
    <t>Name of the student</t>
  </si>
  <si>
    <t>ED</t>
  </si>
  <si>
    <t>MPMC</t>
  </si>
  <si>
    <t>PSA</t>
  </si>
  <si>
    <t>EMI</t>
  </si>
  <si>
    <t>RDET</t>
  </si>
  <si>
    <t>CN</t>
  </si>
  <si>
    <t>MPMC LAB</t>
  </si>
  <si>
    <t>IOT LAB</t>
  </si>
  <si>
    <t>EMI LAB</t>
  </si>
  <si>
    <t>Project</t>
  </si>
  <si>
    <t>RM</t>
  </si>
  <si>
    <t>Aptitude-1</t>
  </si>
  <si>
    <t>Softskills</t>
  </si>
  <si>
    <t>Coding</t>
  </si>
  <si>
    <t>Activity</t>
  </si>
  <si>
    <t>TOTAL</t>
  </si>
  <si>
    <t>%</t>
  </si>
  <si>
    <t xml:space="preserve">                              Branch:EEE</t>
  </si>
  <si>
    <t>CC</t>
  </si>
  <si>
    <t>CA</t>
  </si>
  <si>
    <t>23HP1A0201</t>
  </si>
  <si>
    <t>CHINTA HIMABINDHU</t>
  </si>
  <si>
    <t>23HP1A0202</t>
  </si>
  <si>
    <t>SANAPATHI JHANSI</t>
  </si>
  <si>
    <t>23HP1A0203</t>
  </si>
  <si>
    <t>CHITTURI KALYANI</t>
  </si>
  <si>
    <t>23HP1A0204</t>
  </si>
  <si>
    <t>PUPPALA NAGA PUSHPA SRI</t>
  </si>
  <si>
    <t>23HP1A0205</t>
  </si>
  <si>
    <t>PALAVAYI PRAJWALA</t>
  </si>
  <si>
    <t>23HP1A0206</t>
  </si>
  <si>
    <t>TRIPARNAPALLI PRASANTHI</t>
  </si>
  <si>
    <t>23HP1A0207</t>
  </si>
  <si>
    <t>MARIPI SOWMYA</t>
  </si>
  <si>
    <t>23HP1A0208</t>
  </si>
  <si>
    <t>THATISETTI SRAVANI</t>
  </si>
  <si>
    <t>23HP1A0209</t>
  </si>
  <si>
    <t>PATTAPU THEERDHA PRIYA</t>
  </si>
  <si>
    <t>23HP1A0210</t>
  </si>
  <si>
    <t>MANTHINA VINAYA SRI</t>
  </si>
  <si>
    <t>23HP1A0211</t>
  </si>
  <si>
    <t>BHOGAVALLI ANAND KUMAR</t>
  </si>
  <si>
    <t>23HP1A0213</t>
  </si>
  <si>
    <t>CHEEMALA CHANDU</t>
  </si>
  <si>
    <t>23HP1A0216</t>
  </si>
  <si>
    <t>YADLAPALLI JOSHI KUMAR</t>
  </si>
  <si>
    <t>23HP1A0218</t>
  </si>
  <si>
    <t>YALAKALA LOHITH NAIDU</t>
  </si>
  <si>
    <t>23HP1A0219</t>
  </si>
  <si>
    <t>DASARI MADHU</t>
  </si>
  <si>
    <t>23HP1A0220</t>
  </si>
  <si>
    <t>MURALA MANIKANTA SWAMI</t>
  </si>
  <si>
    <t>23HP1A0221</t>
  </si>
  <si>
    <t>VADLAPUDI NAGA PHANINDRA</t>
  </si>
  <si>
    <t>23HP1A0223</t>
  </si>
  <si>
    <t>SUNKARA PAVAN KUMAR</t>
  </si>
  <si>
    <t>23HP1A0224</t>
  </si>
  <si>
    <t>MEKALA PREM SAI</t>
  </si>
  <si>
    <t>23HP1A0226</t>
  </si>
  <si>
    <t>GOGADA SAI KIRAN</t>
  </si>
  <si>
    <t>23HP1A0229</t>
  </si>
  <si>
    <t>MORABOYINA SRI VENKATA SAI</t>
  </si>
  <si>
    <t>23HP1A0230</t>
  </si>
  <si>
    <t>KAILA SUNAND</t>
  </si>
  <si>
    <t>23HP1A0232</t>
  </si>
  <si>
    <t>MURABOINA VENKATESWARLU</t>
  </si>
  <si>
    <t>23HP1A0234</t>
  </si>
  <si>
    <t>GADDALA REETU PRIYA</t>
  </si>
  <si>
    <t>24HP5A0201</t>
  </si>
  <si>
    <t>VAVILAPALLI BHAVANI</t>
  </si>
  <si>
    <t>24HP5A0202</t>
  </si>
  <si>
    <t>BORRA DEEPTHI SRI</t>
  </si>
  <si>
    <t>24HP5A0203</t>
  </si>
  <si>
    <t>CHALLA HEMA SAI MEGHANA</t>
  </si>
  <si>
    <t>24HP5A0205</t>
  </si>
  <si>
    <t>PONUGUMATI NAVYA SRI</t>
  </si>
  <si>
    <t>24HP5A0206</t>
  </si>
  <si>
    <t>VASAMSETTI SARALADEVI</t>
  </si>
  <si>
    <t>24HP5A0207</t>
  </si>
  <si>
    <t>GARPATI ANAND SAI</t>
  </si>
  <si>
    <t>24HP5A0208</t>
  </si>
  <si>
    <t>DUNNA ANKAMMARAJU</t>
  </si>
  <si>
    <t>24HP5A0209</t>
  </si>
  <si>
    <t>SIDDINENI DIVYA KANTH</t>
  </si>
  <si>
    <t>24HP5A0210</t>
  </si>
  <si>
    <t>PULI ELISHA</t>
  </si>
  <si>
    <t>24HP5A0211</t>
  </si>
  <si>
    <t>GUNA HEMANTH KUMAR</t>
  </si>
  <si>
    <t>24HP5A0212</t>
  </si>
  <si>
    <t>SUNNAPALLI INDRA</t>
  </si>
  <si>
    <t>24HP5A0213</t>
  </si>
  <si>
    <t>B.JOJI BABU</t>
  </si>
  <si>
    <t>24HP5A0215</t>
  </si>
  <si>
    <t>RAAVI PREM KUMAR</t>
  </si>
  <si>
    <t>24HP5A0216</t>
  </si>
  <si>
    <t>NARLAPATI RAMU</t>
  </si>
  <si>
    <t>24HP5A0217</t>
  </si>
  <si>
    <t>GALAM SAIRAM</t>
  </si>
  <si>
    <t>24HP5A0218</t>
  </si>
  <si>
    <t>JUVVANAPUDI SANTHOSH</t>
  </si>
  <si>
    <t>24HP5A0220</t>
  </si>
  <si>
    <t>REVALLA SRI CHAITHANYA</t>
  </si>
  <si>
    <t>24HP5A0221</t>
  </si>
  <si>
    <t>RAJAPANTULA SRINIVASA MANIKANTA</t>
  </si>
  <si>
    <t>24HP5A0222</t>
  </si>
  <si>
    <t>PRATHURI SUDHEER BABU</t>
  </si>
  <si>
    <t>24HP5A0223</t>
  </si>
  <si>
    <t>BOLISETTI VENKATA SURYA NARAYANA</t>
  </si>
  <si>
    <t>Dr AJAY</t>
  </si>
  <si>
    <t>Mr.MRK</t>
  </si>
  <si>
    <t>Mr.LK</t>
  </si>
  <si>
    <t>Ms Sruthi</t>
  </si>
  <si>
    <t>Dr.NGK</t>
  </si>
  <si>
    <t>Mr.Yaswanth</t>
  </si>
  <si>
    <t>Mr.TKM</t>
  </si>
  <si>
    <t>Dr. Swamy</t>
  </si>
  <si>
    <t>KRL/KSR</t>
  </si>
  <si>
    <t>Mr.Pillai</t>
  </si>
  <si>
    <t>LK</t>
  </si>
  <si>
    <t xml:space="preserve">Class incharge </t>
  </si>
  <si>
    <t>HOD</t>
  </si>
  <si>
    <t>(Dr.M. Ajay Kumar)</t>
  </si>
  <si>
    <t>(Dr.G.Naveen Kumar)</t>
  </si>
  <si>
    <r>
      <rPr>
        <b/>
        <sz val="12"/>
        <color theme="1"/>
        <rFont val="Calibri"/>
      </rPr>
      <t xml:space="preserve">III B Tech II SEM ATTENDANCE from </t>
    </r>
    <r>
      <rPr>
        <b/>
        <sz val="12"/>
        <color rgb="FFFF0000"/>
        <rFont val="Calibri"/>
      </rPr>
      <t>1-12-2025</t>
    </r>
    <r>
      <rPr>
        <b/>
        <sz val="12"/>
        <color theme="1"/>
        <rFont val="Calibri"/>
      </rPr>
      <t xml:space="preserve"> to </t>
    </r>
    <r>
      <rPr>
        <b/>
        <sz val="12"/>
        <color rgb="FFFF0000"/>
        <rFont val="Calibri"/>
      </rPr>
      <t>31-12-2025</t>
    </r>
    <r>
      <rPr>
        <b/>
        <sz val="12"/>
        <color theme="1"/>
        <rFont val="Calibri"/>
      </rPr>
      <t xml:space="preserve">  AY:2025-2026                                  Branch:EEE</t>
    </r>
  </si>
  <si>
    <r>
      <rPr>
        <sz val="10"/>
        <rFont val="Arial"/>
      </rPr>
      <t>R</t>
    </r>
    <r>
      <rPr>
        <u/>
        <sz val="10"/>
        <color rgb="FF1155CC"/>
        <rFont val="Arial"/>
      </rPr>
      <t>eg.No</t>
    </r>
    <r>
      <rPr>
        <sz val="10"/>
        <rFont val="Arial"/>
      </rPr>
      <t>.</t>
    </r>
  </si>
  <si>
    <t>Dr.GNK</t>
  </si>
  <si>
    <r>
      <rPr>
        <b/>
        <sz val="12"/>
        <color theme="1"/>
        <rFont val="Calibri"/>
      </rPr>
      <t xml:space="preserve">III B Tech II SEM ATTENDANCE from </t>
    </r>
    <r>
      <rPr>
        <b/>
        <sz val="12"/>
        <color rgb="FFFF0000"/>
        <rFont val="Calibri"/>
      </rPr>
      <t>1-12-2025</t>
    </r>
    <r>
      <rPr>
        <b/>
        <sz val="12"/>
        <color theme="1"/>
        <rFont val="Calibri"/>
      </rPr>
      <t xml:space="preserve"> to </t>
    </r>
    <r>
      <rPr>
        <b/>
        <sz val="12"/>
        <color rgb="FFFF0000"/>
        <rFont val="Calibri"/>
      </rPr>
      <t>31-12-2025</t>
    </r>
    <r>
      <rPr>
        <b/>
        <sz val="12"/>
        <color theme="1"/>
        <rFont val="Calibri"/>
      </rPr>
      <t xml:space="preserve">  AY:2025-2026                                  Branch:EEE</t>
    </r>
  </si>
  <si>
    <r>
      <rPr>
        <sz val="10"/>
        <rFont val="Arial"/>
      </rPr>
      <t>R</t>
    </r>
    <r>
      <rPr>
        <u/>
        <sz val="10"/>
        <color rgb="FF1155CC"/>
        <rFont val="Arial"/>
      </rPr>
      <t>eg.No</t>
    </r>
    <r>
      <rPr>
        <sz val="10"/>
        <rFont val="Arial"/>
      </rPr>
      <t>.</t>
    </r>
  </si>
  <si>
    <t>lk</t>
  </si>
  <si>
    <r>
      <rPr>
        <b/>
        <sz val="12"/>
        <color theme="1"/>
        <rFont val="Calibri"/>
      </rPr>
      <t xml:space="preserve">III B Tech II SEM ATTENDANCE from </t>
    </r>
    <r>
      <rPr>
        <b/>
        <sz val="12"/>
        <color rgb="FFFF0000"/>
        <rFont val="Calibri"/>
      </rPr>
      <t>1-12-2025</t>
    </r>
    <r>
      <rPr>
        <b/>
        <sz val="12"/>
        <color theme="1"/>
        <rFont val="Calibri"/>
      </rPr>
      <t xml:space="preserve"> to </t>
    </r>
    <r>
      <rPr>
        <b/>
        <sz val="12"/>
        <color rgb="FFFF0000"/>
        <rFont val="Calibri"/>
      </rPr>
      <t>31-1-2026</t>
    </r>
    <r>
      <rPr>
        <b/>
        <sz val="12"/>
        <color theme="1"/>
        <rFont val="Calibri"/>
      </rPr>
      <t xml:space="preserve">  AY:2025-2026                                  Branch:EEE</t>
    </r>
  </si>
  <si>
    <t>DBMS</t>
  </si>
  <si>
    <t>L Karunakar</t>
  </si>
  <si>
    <t>Regstration number</t>
  </si>
  <si>
    <t>EEE-02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</si>
</sst>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Calibri"/>
    </font>
    <font>
      <u/>
      <sz val="10"/>
      <color rgb="FF1155CC"/>
      <name val="Arial"/>
    </font>
    <font>
      <u/>
      <sz val="10"/>
      <color rgb="FF0000FF"/>
      <name val="Arial"/>
    </font>
    <font>
      <b/>
      <sz val="8"/>
      <color theme="1"/>
      <name val="Calibri"/>
    </font>
    <font>
      <sz val="10"/>
      <name val="Arial"/>
    </font>
    <font>
      <b/>
      <sz val="8"/>
      <color theme="1"/>
      <name val="Arial"/>
    </font>
    <font>
      <b/>
      <sz val="7"/>
      <color theme="1"/>
      <name val="Arial"/>
    </font>
    <font>
      <sz val="10"/>
      <color rgb="FF000000"/>
      <name val="Times New Roman"/>
    </font>
    <font>
      <sz val="12"/>
      <color rgb="FF000000"/>
      <name val="Calibri"/>
    </font>
    <font>
      <sz val="10"/>
      <color theme="1"/>
      <name val="Times New Roman"/>
    </font>
    <font>
      <sz val="10"/>
      <color theme="1"/>
      <name val="Arial"/>
      <scheme val="minor"/>
    </font>
    <font>
      <sz val="11"/>
      <color rgb="FF000000"/>
      <name val="Calibri"/>
    </font>
    <font>
      <sz val="7"/>
      <color theme="1"/>
      <name val="Arial"/>
    </font>
    <font>
      <u/>
      <sz val="7"/>
      <color rgb="FF0000FF"/>
      <name val="Arial"/>
    </font>
    <font>
      <sz val="7"/>
      <color rgb="FF000000"/>
      <name val="Arial"/>
    </font>
    <font>
      <sz val="10"/>
      <color rgb="FF000000"/>
      <name val="Arial"/>
    </font>
    <font>
      <sz val="12"/>
      <color theme="1"/>
      <name val="Arial"/>
    </font>
    <font>
      <sz val="11"/>
      <color rgb="FF000000"/>
      <name val="&quot;Aptos Narrow&quot;"/>
    </font>
    <font>
      <sz val="11"/>
      <color theme="1"/>
      <name val="Aptos Narrow"/>
    </font>
    <font>
      <sz val="11"/>
      <color rgb="FFFF0000"/>
      <name val="&quot;Aptos Narrow&quot;"/>
    </font>
    <font>
      <sz val="11"/>
      <color rgb="FF000000"/>
      <name val="Arial"/>
    </font>
    <font>
      <b/>
      <sz val="12"/>
      <color rgb="FFFF0000"/>
      <name val="Calibri"/>
    </font>
    <font>
      <b/>
      <sz val="10"/>
      <color rgb="FFFF0000"/>
      <name val="Times New Roman"/>
      <family val="1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6" fillId="0" borderId="6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10" fillId="0" borderId="6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2" fillId="0" borderId="6" xfId="0" applyFont="1" applyBorder="1"/>
    <xf numFmtId="0" fontId="10" fillId="0" borderId="6" xfId="0" applyFont="1" applyBorder="1" applyAlignment="1">
      <alignment horizontal="center"/>
    </xf>
    <xf numFmtId="1" fontId="11" fillId="0" borderId="6" xfId="0" applyNumberFormat="1" applyFont="1" applyBorder="1" applyAlignment="1">
      <alignment horizontal="right"/>
    </xf>
    <xf numFmtId="0" fontId="13" fillId="0" borderId="6" xfId="0" applyFont="1" applyBorder="1"/>
    <xf numFmtId="0" fontId="14" fillId="0" borderId="6" xfId="0" applyFont="1" applyBorder="1" applyAlignment="1">
      <alignment horizontal="right"/>
    </xf>
    <xf numFmtId="0" fontId="12" fillId="0" borderId="6" xfId="0" applyFont="1" applyBorder="1" applyAlignment="1">
      <alignment horizontal="center" wrapText="1"/>
    </xf>
    <xf numFmtId="1" fontId="12" fillId="0" borderId="6" xfId="0" applyNumberFormat="1" applyFont="1" applyBorder="1" applyAlignment="1">
      <alignment horizontal="center"/>
    </xf>
    <xf numFmtId="1" fontId="2" fillId="0" borderId="0" xfId="0" applyNumberFormat="1" applyFont="1"/>
    <xf numFmtId="0" fontId="13" fillId="0" borderId="0" xfId="0" applyFont="1"/>
    <xf numFmtId="0" fontId="9" fillId="0" borderId="6" xfId="0" applyFont="1" applyBorder="1" applyAlignment="1">
      <alignment horizontal="left"/>
    </xf>
    <xf numFmtId="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7" fillId="0" borderId="0" xfId="0" applyFont="1"/>
    <xf numFmtId="0" fontId="18" fillId="0" borderId="0" xfId="0" applyFont="1"/>
    <xf numFmtId="1" fontId="10" fillId="0" borderId="6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" fillId="0" borderId="4" xfId="0" applyFont="1" applyBorder="1"/>
    <xf numFmtId="1" fontId="25" fillId="0" borderId="6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7" fillId="0" borderId="4" xfId="0" applyFont="1" applyBorder="1"/>
    <xf numFmtId="0" fontId="2" fillId="0" borderId="3" xfId="0" applyFont="1" applyBorder="1"/>
    <xf numFmtId="0" fontId="6" fillId="0" borderId="2" xfId="0" applyFont="1" applyBorder="1" applyAlignment="1">
      <alignment horizontal="center"/>
    </xf>
    <xf numFmtId="0" fontId="7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7" fillId="0" borderId="9" xfId="0" applyFont="1" applyBorder="1"/>
    <xf numFmtId="0" fontId="15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8" xfId="0" applyFont="1" applyBorder="1"/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7" fillId="0" borderId="5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r.lk/" TargetMode="External"/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O999"/>
  <sheetViews>
    <sheetView workbookViewId="0"/>
  </sheetViews>
  <sheetFormatPr defaultColWidth="12.6640625" defaultRowHeight="15" customHeight="1"/>
  <cols>
    <col min="1" max="1" width="5.33203125" customWidth="1"/>
    <col min="2" max="2" width="10.88671875" customWidth="1"/>
    <col min="3" max="3" width="19" customWidth="1"/>
    <col min="4" max="4" width="3.44140625" customWidth="1"/>
    <col min="5" max="5" width="3.109375" customWidth="1"/>
    <col min="6" max="7" width="3.21875" customWidth="1"/>
    <col min="8" max="8" width="3.109375" customWidth="1"/>
    <col min="9" max="9" width="3.21875" customWidth="1"/>
    <col min="10" max="10" width="3" customWidth="1"/>
    <col min="11" max="11" width="2.77734375" customWidth="1"/>
    <col min="12" max="12" width="3" customWidth="1"/>
    <col min="13" max="13" width="2.77734375" customWidth="1"/>
    <col min="14" max="14" width="2.88671875" customWidth="1"/>
    <col min="15" max="15" width="3.33203125" customWidth="1"/>
    <col min="16" max="16" width="3.6640625" customWidth="1"/>
    <col min="17" max="18" width="3.33203125" customWidth="1"/>
    <col min="19" max="20" width="3.6640625" customWidth="1"/>
    <col min="21" max="21" width="3.44140625" customWidth="1"/>
    <col min="22" max="22" width="3.109375" customWidth="1"/>
    <col min="23" max="23" width="3.6640625" customWidth="1"/>
    <col min="24" max="24" width="3.77734375" customWidth="1"/>
    <col min="25" max="25" width="3.33203125" customWidth="1"/>
    <col min="26" max="27" width="3.21875" customWidth="1"/>
    <col min="28" max="28" width="3.44140625" customWidth="1"/>
    <col min="29" max="29" width="3.33203125" customWidth="1"/>
    <col min="30" max="30" width="4.21875" customWidth="1"/>
    <col min="31" max="31" width="4.88671875" customWidth="1"/>
    <col min="32" max="32" width="5.6640625" customWidth="1"/>
    <col min="33" max="33" width="5.21875" customWidth="1"/>
    <col min="34" max="34" width="6.77734375" customWidth="1"/>
    <col min="35" max="35" width="5.77734375" customWidth="1"/>
    <col min="36" max="36" width="7.88671875" customWidth="1"/>
  </cols>
  <sheetData>
    <row r="1" spans="1:41" ht="15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36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37" t="s">
        <v>2</v>
      </c>
      <c r="B3" s="38" t="s">
        <v>3</v>
      </c>
      <c r="C3" s="39" t="s">
        <v>4</v>
      </c>
      <c r="D3" s="40" t="s">
        <v>5</v>
      </c>
      <c r="E3" s="30"/>
      <c r="F3" s="40" t="s">
        <v>6</v>
      </c>
      <c r="G3" s="30"/>
      <c r="H3" s="40" t="s">
        <v>7</v>
      </c>
      <c r="I3" s="30"/>
      <c r="J3" s="40" t="s">
        <v>8</v>
      </c>
      <c r="K3" s="30"/>
      <c r="L3" s="40" t="s">
        <v>9</v>
      </c>
      <c r="M3" s="30"/>
      <c r="N3" s="40" t="s">
        <v>10</v>
      </c>
      <c r="O3" s="30"/>
      <c r="P3" s="40" t="s">
        <v>11</v>
      </c>
      <c r="Q3" s="30"/>
      <c r="R3" s="40" t="s">
        <v>12</v>
      </c>
      <c r="S3" s="30"/>
      <c r="T3" s="40" t="s">
        <v>13</v>
      </c>
      <c r="U3" s="30"/>
      <c r="V3" s="40" t="s">
        <v>14</v>
      </c>
      <c r="W3" s="30"/>
      <c r="X3" s="40" t="s">
        <v>15</v>
      </c>
      <c r="Y3" s="30"/>
      <c r="Z3" s="40" t="s">
        <v>16</v>
      </c>
      <c r="AA3" s="30"/>
      <c r="AB3" s="40" t="s">
        <v>17</v>
      </c>
      <c r="AC3" s="30"/>
      <c r="AD3" s="40" t="s">
        <v>18</v>
      </c>
      <c r="AE3" s="30"/>
      <c r="AF3" s="40" t="s">
        <v>19</v>
      </c>
      <c r="AG3" s="30"/>
      <c r="AH3" s="40" t="s">
        <v>20</v>
      </c>
      <c r="AI3" s="30"/>
      <c r="AJ3" s="32" t="s">
        <v>21</v>
      </c>
      <c r="AK3" s="1" t="s">
        <v>22</v>
      </c>
      <c r="AL3" s="1"/>
      <c r="AM3" s="1"/>
      <c r="AN3" s="1"/>
      <c r="AO3" s="1"/>
    </row>
    <row r="4" spans="1:41" ht="15.75" customHeight="1">
      <c r="A4" s="33"/>
      <c r="B4" s="33"/>
      <c r="C4" s="33"/>
      <c r="D4" s="2" t="s">
        <v>23</v>
      </c>
      <c r="E4" s="2" t="s">
        <v>24</v>
      </c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33"/>
      <c r="AK4" s="1"/>
      <c r="AL4" s="1"/>
      <c r="AM4" s="1"/>
      <c r="AN4" s="1"/>
      <c r="AO4" s="1"/>
    </row>
    <row r="5" spans="1:41" ht="15.75" customHeight="1">
      <c r="A5" s="3">
        <v>1</v>
      </c>
      <c r="B5" s="4" t="s">
        <v>25</v>
      </c>
      <c r="C5" s="5" t="s">
        <v>26</v>
      </c>
      <c r="D5" s="6">
        <v>9</v>
      </c>
      <c r="E5" s="7">
        <v>8</v>
      </c>
      <c r="F5" s="8">
        <v>7</v>
      </c>
      <c r="G5" s="6">
        <v>7</v>
      </c>
      <c r="H5" s="9">
        <v>9</v>
      </c>
      <c r="I5" s="10">
        <v>8</v>
      </c>
      <c r="J5" s="6">
        <v>7</v>
      </c>
      <c r="K5" s="7">
        <v>7</v>
      </c>
      <c r="L5" s="11">
        <v>8</v>
      </c>
      <c r="M5" s="6">
        <v>7</v>
      </c>
      <c r="N5" s="12">
        <v>8</v>
      </c>
      <c r="O5" s="12">
        <v>8</v>
      </c>
      <c r="P5" s="6">
        <v>9</v>
      </c>
      <c r="Q5" s="6">
        <v>9</v>
      </c>
      <c r="R5" s="6">
        <v>4</v>
      </c>
      <c r="S5" s="6">
        <v>4</v>
      </c>
      <c r="T5" s="6">
        <v>4</v>
      </c>
      <c r="U5" s="7">
        <v>4</v>
      </c>
      <c r="V5" s="7">
        <v>2</v>
      </c>
      <c r="W5" s="7">
        <v>2</v>
      </c>
      <c r="X5" s="7">
        <v>3</v>
      </c>
      <c r="Y5" s="7">
        <v>3</v>
      </c>
      <c r="Z5" s="13">
        <v>8</v>
      </c>
      <c r="AA5" s="13">
        <v>8</v>
      </c>
      <c r="AB5" s="13">
        <v>4</v>
      </c>
      <c r="AC5" s="7">
        <v>4</v>
      </c>
      <c r="AD5" s="7">
        <v>7</v>
      </c>
      <c r="AE5" s="7">
        <v>7</v>
      </c>
      <c r="AF5" s="8">
        <v>2</v>
      </c>
      <c r="AG5" s="7">
        <v>2</v>
      </c>
      <c r="AH5" s="9">
        <f t="shared" ref="AH5:AH48" si="0">(D5+F5+H5+J5+N5+P5+R5+T5+V5+X5+Z5+AB5+AD5+AF5+L5)</f>
        <v>91</v>
      </c>
      <c r="AI5" s="10">
        <f t="shared" ref="AI5:AI48" si="1">(E5+G5+I5+K5+M5+O5+Q5+S5+U5+W5+Y5+AA5+AC5+AE5+AG5)</f>
        <v>88</v>
      </c>
      <c r="AJ5" s="14">
        <f t="shared" ref="AJ5:AJ48" si="2">(AI5/AH5)*100</f>
        <v>96.703296703296701</v>
      </c>
      <c r="AK5" s="15"/>
      <c r="AL5" s="15"/>
      <c r="AM5" s="15"/>
      <c r="AN5" s="15"/>
      <c r="AO5" s="15"/>
    </row>
    <row r="6" spans="1:41" ht="15.75" customHeight="1">
      <c r="A6" s="3">
        <v>2</v>
      </c>
      <c r="B6" s="4" t="s">
        <v>27</v>
      </c>
      <c r="C6" s="5" t="s">
        <v>28</v>
      </c>
      <c r="D6" s="6">
        <v>9</v>
      </c>
      <c r="E6" s="7">
        <v>9</v>
      </c>
      <c r="F6" s="8">
        <v>7</v>
      </c>
      <c r="G6" s="6">
        <v>5</v>
      </c>
      <c r="H6" s="9">
        <v>9</v>
      </c>
      <c r="I6" s="10">
        <v>7</v>
      </c>
      <c r="J6" s="6">
        <v>7</v>
      </c>
      <c r="K6" s="7">
        <v>7</v>
      </c>
      <c r="L6" s="11">
        <v>8</v>
      </c>
      <c r="M6" s="6">
        <v>6</v>
      </c>
      <c r="N6" s="12">
        <v>8</v>
      </c>
      <c r="O6" s="12">
        <v>6</v>
      </c>
      <c r="P6" s="6">
        <v>9</v>
      </c>
      <c r="Q6" s="6">
        <v>6</v>
      </c>
      <c r="R6" s="6">
        <v>4</v>
      </c>
      <c r="S6" s="6">
        <v>4</v>
      </c>
      <c r="T6" s="6">
        <v>4</v>
      </c>
      <c r="U6" s="7">
        <v>4</v>
      </c>
      <c r="V6" s="7">
        <v>2</v>
      </c>
      <c r="W6" s="7">
        <v>2</v>
      </c>
      <c r="X6" s="7">
        <v>3</v>
      </c>
      <c r="Y6" s="7">
        <v>3</v>
      </c>
      <c r="Z6" s="13">
        <v>8</v>
      </c>
      <c r="AA6" s="13">
        <v>4</v>
      </c>
      <c r="AB6" s="13">
        <v>4</v>
      </c>
      <c r="AC6" s="7">
        <v>2</v>
      </c>
      <c r="AD6" s="7">
        <v>7</v>
      </c>
      <c r="AE6" s="7">
        <v>2</v>
      </c>
      <c r="AF6" s="8">
        <v>2</v>
      </c>
      <c r="AG6" s="7">
        <v>2</v>
      </c>
      <c r="AH6" s="9">
        <f t="shared" si="0"/>
        <v>91</v>
      </c>
      <c r="AI6" s="10">
        <f t="shared" si="1"/>
        <v>69</v>
      </c>
      <c r="AJ6" s="14">
        <f t="shared" si="2"/>
        <v>75.824175824175825</v>
      </c>
      <c r="AK6" s="15"/>
      <c r="AL6" s="15"/>
      <c r="AM6" s="15"/>
      <c r="AN6" s="15"/>
      <c r="AO6" s="15"/>
    </row>
    <row r="7" spans="1:41" ht="15.75" customHeight="1">
      <c r="A7" s="3">
        <v>3</v>
      </c>
      <c r="B7" s="4" t="s">
        <v>29</v>
      </c>
      <c r="C7" s="5" t="s">
        <v>30</v>
      </c>
      <c r="D7" s="6">
        <v>9</v>
      </c>
      <c r="E7" s="7">
        <v>4</v>
      </c>
      <c r="F7" s="8">
        <v>7</v>
      </c>
      <c r="G7" s="6">
        <v>2</v>
      </c>
      <c r="H7" s="9">
        <v>9</v>
      </c>
      <c r="I7" s="10">
        <v>3</v>
      </c>
      <c r="J7" s="6">
        <v>7</v>
      </c>
      <c r="K7" s="7">
        <v>3</v>
      </c>
      <c r="L7" s="11">
        <v>8</v>
      </c>
      <c r="M7" s="6">
        <v>2</v>
      </c>
      <c r="N7" s="12">
        <v>8</v>
      </c>
      <c r="O7" s="12">
        <v>4</v>
      </c>
      <c r="P7" s="6">
        <v>9</v>
      </c>
      <c r="Q7" s="6">
        <v>3</v>
      </c>
      <c r="R7" s="6">
        <v>4</v>
      </c>
      <c r="S7" s="6">
        <v>2</v>
      </c>
      <c r="T7" s="6">
        <v>4</v>
      </c>
      <c r="U7" s="7">
        <v>2</v>
      </c>
      <c r="V7" s="7">
        <v>2</v>
      </c>
      <c r="W7" s="7">
        <v>1</v>
      </c>
      <c r="X7" s="7">
        <v>3</v>
      </c>
      <c r="Y7" s="7">
        <v>1</v>
      </c>
      <c r="Z7" s="13">
        <v>8</v>
      </c>
      <c r="AA7" s="13">
        <v>4</v>
      </c>
      <c r="AB7" s="13">
        <v>4</v>
      </c>
      <c r="AC7" s="7">
        <v>2</v>
      </c>
      <c r="AD7" s="7">
        <v>7</v>
      </c>
      <c r="AE7" s="7">
        <v>2</v>
      </c>
      <c r="AF7" s="8">
        <v>2</v>
      </c>
      <c r="AG7" s="7">
        <v>1</v>
      </c>
      <c r="AH7" s="9">
        <f t="shared" si="0"/>
        <v>91</v>
      </c>
      <c r="AI7" s="10">
        <f t="shared" si="1"/>
        <v>36</v>
      </c>
      <c r="AJ7" s="14">
        <f t="shared" si="2"/>
        <v>39.560439560439562</v>
      </c>
      <c r="AK7" s="15"/>
      <c r="AL7" s="15"/>
      <c r="AM7" s="15"/>
      <c r="AN7" s="15"/>
      <c r="AO7" s="15"/>
    </row>
    <row r="8" spans="1:41" ht="15.75" customHeight="1">
      <c r="A8" s="3">
        <v>4</v>
      </c>
      <c r="B8" s="4" t="s">
        <v>31</v>
      </c>
      <c r="C8" s="5" t="s">
        <v>32</v>
      </c>
      <c r="D8" s="6">
        <v>9</v>
      </c>
      <c r="E8" s="7">
        <v>9</v>
      </c>
      <c r="F8" s="8">
        <v>7</v>
      </c>
      <c r="G8" s="6">
        <v>7</v>
      </c>
      <c r="H8" s="9">
        <v>9</v>
      </c>
      <c r="I8" s="10">
        <v>9</v>
      </c>
      <c r="J8" s="6">
        <v>7</v>
      </c>
      <c r="K8" s="7">
        <v>7</v>
      </c>
      <c r="L8" s="11">
        <v>8</v>
      </c>
      <c r="M8" s="6">
        <v>8</v>
      </c>
      <c r="N8" s="12">
        <v>8</v>
      </c>
      <c r="O8" s="12">
        <v>8</v>
      </c>
      <c r="P8" s="6">
        <v>9</v>
      </c>
      <c r="Q8" s="6">
        <v>9</v>
      </c>
      <c r="R8" s="6">
        <v>4</v>
      </c>
      <c r="S8" s="6">
        <v>4</v>
      </c>
      <c r="T8" s="6">
        <v>4</v>
      </c>
      <c r="U8" s="7">
        <v>4</v>
      </c>
      <c r="V8" s="7">
        <v>2</v>
      </c>
      <c r="W8" s="7">
        <v>2</v>
      </c>
      <c r="X8" s="7">
        <v>3</v>
      </c>
      <c r="Y8" s="7">
        <v>3</v>
      </c>
      <c r="Z8" s="13">
        <v>8</v>
      </c>
      <c r="AA8" s="13">
        <v>8</v>
      </c>
      <c r="AB8" s="13">
        <v>4</v>
      </c>
      <c r="AC8" s="7">
        <v>4</v>
      </c>
      <c r="AD8" s="7">
        <v>7</v>
      </c>
      <c r="AE8" s="7">
        <v>7</v>
      </c>
      <c r="AF8" s="8">
        <v>2</v>
      </c>
      <c r="AG8" s="7">
        <v>2</v>
      </c>
      <c r="AH8" s="9">
        <f t="shared" si="0"/>
        <v>91</v>
      </c>
      <c r="AI8" s="10">
        <f t="shared" si="1"/>
        <v>91</v>
      </c>
      <c r="AJ8" s="14">
        <f t="shared" si="2"/>
        <v>100</v>
      </c>
      <c r="AK8" s="15"/>
      <c r="AL8" s="15"/>
      <c r="AM8" s="15"/>
      <c r="AN8" s="15"/>
      <c r="AO8" s="15"/>
    </row>
    <row r="9" spans="1:41" ht="15.75" customHeight="1">
      <c r="A9" s="3">
        <v>5</v>
      </c>
      <c r="B9" s="4" t="s">
        <v>33</v>
      </c>
      <c r="C9" s="5" t="s">
        <v>34</v>
      </c>
      <c r="D9" s="6">
        <v>9</v>
      </c>
      <c r="E9" s="7">
        <v>7</v>
      </c>
      <c r="F9" s="8">
        <v>7</v>
      </c>
      <c r="G9" s="6">
        <v>4</v>
      </c>
      <c r="H9" s="9">
        <v>9</v>
      </c>
      <c r="I9" s="10">
        <v>6</v>
      </c>
      <c r="J9" s="6">
        <v>7</v>
      </c>
      <c r="K9" s="7">
        <v>5</v>
      </c>
      <c r="L9" s="11">
        <v>8</v>
      </c>
      <c r="M9" s="6">
        <v>6</v>
      </c>
      <c r="N9" s="12">
        <v>8</v>
      </c>
      <c r="O9" s="12">
        <v>7</v>
      </c>
      <c r="P9" s="6">
        <v>9</v>
      </c>
      <c r="Q9" s="6">
        <v>6</v>
      </c>
      <c r="R9" s="6">
        <v>4</v>
      </c>
      <c r="S9" s="6">
        <v>2</v>
      </c>
      <c r="T9" s="6">
        <v>4</v>
      </c>
      <c r="U9" s="7">
        <v>4</v>
      </c>
      <c r="V9" s="7">
        <v>2</v>
      </c>
      <c r="W9" s="7">
        <v>1</v>
      </c>
      <c r="X9" s="7">
        <v>3</v>
      </c>
      <c r="Y9" s="7">
        <v>2</v>
      </c>
      <c r="Z9" s="13">
        <v>8</v>
      </c>
      <c r="AA9" s="13">
        <v>4</v>
      </c>
      <c r="AB9" s="13">
        <v>4</v>
      </c>
      <c r="AC9" s="7">
        <v>2</v>
      </c>
      <c r="AD9" s="7">
        <v>7</v>
      </c>
      <c r="AE9" s="7">
        <v>2</v>
      </c>
      <c r="AF9" s="8">
        <v>2</v>
      </c>
      <c r="AG9" s="7">
        <v>2</v>
      </c>
      <c r="AH9" s="9">
        <f t="shared" si="0"/>
        <v>91</v>
      </c>
      <c r="AI9" s="10">
        <f t="shared" si="1"/>
        <v>60</v>
      </c>
      <c r="AJ9" s="14">
        <f t="shared" si="2"/>
        <v>65.934065934065927</v>
      </c>
      <c r="AK9" s="15"/>
      <c r="AL9" s="15"/>
      <c r="AM9" s="15"/>
      <c r="AN9" s="15"/>
      <c r="AO9" s="15"/>
    </row>
    <row r="10" spans="1:41" ht="15.75" customHeight="1">
      <c r="A10" s="3">
        <v>6</v>
      </c>
      <c r="B10" s="4" t="s">
        <v>35</v>
      </c>
      <c r="C10" s="5" t="s">
        <v>36</v>
      </c>
      <c r="D10" s="6">
        <v>9</v>
      </c>
      <c r="E10" s="7">
        <v>6</v>
      </c>
      <c r="F10" s="8">
        <v>7</v>
      </c>
      <c r="G10" s="6">
        <v>3</v>
      </c>
      <c r="H10" s="9">
        <v>9</v>
      </c>
      <c r="I10" s="10">
        <v>5</v>
      </c>
      <c r="J10" s="6">
        <v>7</v>
      </c>
      <c r="K10" s="7">
        <v>5</v>
      </c>
      <c r="L10" s="11">
        <v>8</v>
      </c>
      <c r="M10" s="6">
        <v>5</v>
      </c>
      <c r="N10" s="12">
        <v>8</v>
      </c>
      <c r="O10" s="12">
        <v>6</v>
      </c>
      <c r="P10" s="6">
        <v>9</v>
      </c>
      <c r="Q10" s="6">
        <v>6</v>
      </c>
      <c r="R10" s="6">
        <v>4</v>
      </c>
      <c r="S10" s="6">
        <v>2</v>
      </c>
      <c r="T10" s="6">
        <v>4</v>
      </c>
      <c r="U10" s="7">
        <v>4</v>
      </c>
      <c r="V10" s="7">
        <v>2</v>
      </c>
      <c r="W10" s="7">
        <v>1</v>
      </c>
      <c r="X10" s="7">
        <v>3</v>
      </c>
      <c r="Y10" s="7">
        <v>2</v>
      </c>
      <c r="Z10" s="13">
        <v>8</v>
      </c>
      <c r="AA10" s="13">
        <v>2</v>
      </c>
      <c r="AB10" s="13">
        <v>4</v>
      </c>
      <c r="AC10" s="7">
        <v>1</v>
      </c>
      <c r="AD10" s="7">
        <v>7</v>
      </c>
      <c r="AE10" s="7">
        <v>0</v>
      </c>
      <c r="AF10" s="8">
        <v>2</v>
      </c>
      <c r="AG10" s="7">
        <v>1</v>
      </c>
      <c r="AH10" s="9">
        <f t="shared" si="0"/>
        <v>91</v>
      </c>
      <c r="AI10" s="10">
        <f t="shared" si="1"/>
        <v>49</v>
      </c>
      <c r="AJ10" s="14">
        <f t="shared" si="2"/>
        <v>53.846153846153847</v>
      </c>
      <c r="AK10" s="15"/>
      <c r="AL10" s="15"/>
      <c r="AM10" s="15"/>
      <c r="AN10" s="15"/>
      <c r="AO10" s="15"/>
    </row>
    <row r="11" spans="1:41" ht="15.75" customHeight="1">
      <c r="A11" s="3">
        <v>7</v>
      </c>
      <c r="B11" s="4" t="s">
        <v>37</v>
      </c>
      <c r="C11" s="5" t="s">
        <v>38</v>
      </c>
      <c r="D11" s="6">
        <v>9</v>
      </c>
      <c r="E11" s="7">
        <v>6</v>
      </c>
      <c r="F11" s="8">
        <v>7</v>
      </c>
      <c r="G11" s="6">
        <v>5</v>
      </c>
      <c r="H11" s="9">
        <v>9</v>
      </c>
      <c r="I11" s="10">
        <v>6</v>
      </c>
      <c r="J11" s="6">
        <v>7</v>
      </c>
      <c r="K11" s="7">
        <v>6</v>
      </c>
      <c r="L11" s="11">
        <v>8</v>
      </c>
      <c r="M11" s="6">
        <v>6</v>
      </c>
      <c r="N11" s="12">
        <v>8</v>
      </c>
      <c r="O11" s="12">
        <v>6</v>
      </c>
      <c r="P11" s="6">
        <v>9</v>
      </c>
      <c r="Q11" s="6">
        <v>3</v>
      </c>
      <c r="R11" s="6">
        <v>4</v>
      </c>
      <c r="S11" s="6">
        <v>2</v>
      </c>
      <c r="T11" s="6">
        <v>4</v>
      </c>
      <c r="U11" s="7">
        <v>4</v>
      </c>
      <c r="V11" s="7">
        <v>2</v>
      </c>
      <c r="W11" s="7">
        <v>1</v>
      </c>
      <c r="X11" s="7">
        <v>3</v>
      </c>
      <c r="Y11" s="7">
        <v>2</v>
      </c>
      <c r="Z11" s="13">
        <v>8</v>
      </c>
      <c r="AA11" s="13">
        <v>4</v>
      </c>
      <c r="AB11" s="13">
        <v>4</v>
      </c>
      <c r="AC11" s="7">
        <v>2</v>
      </c>
      <c r="AD11" s="7">
        <v>7</v>
      </c>
      <c r="AE11" s="7">
        <v>7</v>
      </c>
      <c r="AF11" s="8">
        <v>2</v>
      </c>
      <c r="AG11" s="7">
        <v>2</v>
      </c>
      <c r="AH11" s="9">
        <f t="shared" si="0"/>
        <v>91</v>
      </c>
      <c r="AI11" s="10">
        <f t="shared" si="1"/>
        <v>62</v>
      </c>
      <c r="AJ11" s="14">
        <f t="shared" si="2"/>
        <v>68.131868131868131</v>
      </c>
      <c r="AK11" s="15"/>
      <c r="AL11" s="15"/>
      <c r="AM11" s="15"/>
      <c r="AN11" s="15"/>
      <c r="AO11" s="15"/>
    </row>
    <row r="12" spans="1:41" ht="15.75" customHeight="1">
      <c r="A12" s="3">
        <v>8</v>
      </c>
      <c r="B12" s="4" t="s">
        <v>39</v>
      </c>
      <c r="C12" s="5" t="s">
        <v>40</v>
      </c>
      <c r="D12" s="6">
        <v>9</v>
      </c>
      <c r="E12" s="7">
        <v>5</v>
      </c>
      <c r="F12" s="8">
        <v>7</v>
      </c>
      <c r="G12" s="6">
        <v>4</v>
      </c>
      <c r="H12" s="9">
        <v>9</v>
      </c>
      <c r="I12" s="10">
        <v>4</v>
      </c>
      <c r="J12" s="6">
        <v>7</v>
      </c>
      <c r="K12" s="7">
        <v>4</v>
      </c>
      <c r="L12" s="11">
        <v>8</v>
      </c>
      <c r="M12" s="6">
        <v>5</v>
      </c>
      <c r="N12" s="12">
        <v>8</v>
      </c>
      <c r="O12" s="12">
        <v>5</v>
      </c>
      <c r="P12" s="6">
        <v>9</v>
      </c>
      <c r="Q12" s="6">
        <v>3</v>
      </c>
      <c r="R12" s="6">
        <v>4</v>
      </c>
      <c r="S12" s="6">
        <v>2</v>
      </c>
      <c r="T12" s="6">
        <v>4</v>
      </c>
      <c r="U12" s="7">
        <v>4</v>
      </c>
      <c r="V12" s="7">
        <v>2</v>
      </c>
      <c r="W12" s="7">
        <v>1</v>
      </c>
      <c r="X12" s="7">
        <v>3</v>
      </c>
      <c r="Y12" s="7">
        <v>0</v>
      </c>
      <c r="Z12" s="13">
        <v>8</v>
      </c>
      <c r="AA12" s="13">
        <v>0</v>
      </c>
      <c r="AB12" s="13">
        <v>4</v>
      </c>
      <c r="AC12" s="7">
        <v>0</v>
      </c>
      <c r="AD12" s="7">
        <v>7</v>
      </c>
      <c r="AE12" s="7">
        <v>2</v>
      </c>
      <c r="AF12" s="8">
        <v>2</v>
      </c>
      <c r="AG12" s="7">
        <v>2</v>
      </c>
      <c r="AH12" s="9">
        <f t="shared" si="0"/>
        <v>91</v>
      </c>
      <c r="AI12" s="10">
        <f t="shared" si="1"/>
        <v>41</v>
      </c>
      <c r="AJ12" s="14">
        <f t="shared" si="2"/>
        <v>45.054945054945058</v>
      </c>
      <c r="AK12" s="15"/>
      <c r="AL12" s="15"/>
      <c r="AM12" s="15"/>
      <c r="AN12" s="15"/>
      <c r="AO12" s="15"/>
    </row>
    <row r="13" spans="1:41" ht="15.75" customHeight="1">
      <c r="A13" s="3">
        <v>9</v>
      </c>
      <c r="B13" s="4" t="s">
        <v>41</v>
      </c>
      <c r="C13" s="5" t="s">
        <v>42</v>
      </c>
      <c r="D13" s="6">
        <v>9</v>
      </c>
      <c r="E13" s="7">
        <v>8</v>
      </c>
      <c r="F13" s="8">
        <v>7</v>
      </c>
      <c r="G13" s="6">
        <v>4</v>
      </c>
      <c r="H13" s="9">
        <v>9</v>
      </c>
      <c r="I13" s="10">
        <v>7</v>
      </c>
      <c r="J13" s="6">
        <v>7</v>
      </c>
      <c r="K13" s="7">
        <v>7</v>
      </c>
      <c r="L13" s="11">
        <v>8</v>
      </c>
      <c r="M13" s="6">
        <v>6</v>
      </c>
      <c r="N13" s="12">
        <v>8</v>
      </c>
      <c r="O13" s="12">
        <v>4</v>
      </c>
      <c r="P13" s="6">
        <v>9</v>
      </c>
      <c r="Q13" s="6">
        <v>9</v>
      </c>
      <c r="R13" s="6">
        <v>4</v>
      </c>
      <c r="S13" s="6">
        <v>4</v>
      </c>
      <c r="T13" s="6">
        <v>4</v>
      </c>
      <c r="U13" s="7">
        <v>4</v>
      </c>
      <c r="V13" s="7">
        <v>2</v>
      </c>
      <c r="W13" s="7">
        <v>2</v>
      </c>
      <c r="X13" s="7">
        <v>3</v>
      </c>
      <c r="Y13" s="7">
        <v>3</v>
      </c>
      <c r="Z13" s="13">
        <v>8</v>
      </c>
      <c r="AA13" s="13">
        <v>6</v>
      </c>
      <c r="AB13" s="13">
        <v>4</v>
      </c>
      <c r="AC13" s="7">
        <v>3</v>
      </c>
      <c r="AD13" s="7">
        <v>7</v>
      </c>
      <c r="AE13" s="7">
        <v>3</v>
      </c>
      <c r="AF13" s="8">
        <v>2</v>
      </c>
      <c r="AG13" s="7">
        <v>1</v>
      </c>
      <c r="AH13" s="9">
        <f t="shared" si="0"/>
        <v>91</v>
      </c>
      <c r="AI13" s="10">
        <f t="shared" si="1"/>
        <v>71</v>
      </c>
      <c r="AJ13" s="14">
        <f t="shared" si="2"/>
        <v>78.021978021978029</v>
      </c>
      <c r="AK13" s="15"/>
      <c r="AL13" s="15"/>
      <c r="AM13" s="15"/>
      <c r="AN13" s="15"/>
      <c r="AO13" s="15"/>
    </row>
    <row r="14" spans="1:41" ht="15.75" customHeight="1">
      <c r="A14" s="3">
        <v>10</v>
      </c>
      <c r="B14" s="4" t="s">
        <v>43</v>
      </c>
      <c r="C14" s="5" t="s">
        <v>44</v>
      </c>
      <c r="D14" s="6">
        <v>9</v>
      </c>
      <c r="E14" s="7">
        <v>9</v>
      </c>
      <c r="F14" s="8">
        <v>7</v>
      </c>
      <c r="G14" s="6">
        <v>6</v>
      </c>
      <c r="H14" s="9">
        <v>9</v>
      </c>
      <c r="I14" s="10">
        <v>9</v>
      </c>
      <c r="J14" s="6">
        <v>7</v>
      </c>
      <c r="K14" s="7">
        <v>6</v>
      </c>
      <c r="L14" s="11">
        <v>8</v>
      </c>
      <c r="M14" s="6">
        <v>8</v>
      </c>
      <c r="N14" s="12">
        <v>8</v>
      </c>
      <c r="O14" s="12">
        <v>6</v>
      </c>
      <c r="P14" s="6">
        <v>9</v>
      </c>
      <c r="Q14" s="6">
        <v>6</v>
      </c>
      <c r="R14" s="6">
        <v>4</v>
      </c>
      <c r="S14" s="6">
        <v>4</v>
      </c>
      <c r="T14" s="6">
        <v>4</v>
      </c>
      <c r="U14" s="7">
        <v>2</v>
      </c>
      <c r="V14" s="7">
        <v>2</v>
      </c>
      <c r="W14" s="7">
        <v>2</v>
      </c>
      <c r="X14" s="7">
        <v>3</v>
      </c>
      <c r="Y14" s="7">
        <v>3</v>
      </c>
      <c r="Z14" s="13">
        <v>8</v>
      </c>
      <c r="AA14" s="13">
        <v>4</v>
      </c>
      <c r="AB14" s="13">
        <v>4</v>
      </c>
      <c r="AC14" s="7">
        <v>2</v>
      </c>
      <c r="AD14" s="7">
        <v>7</v>
      </c>
      <c r="AE14" s="7">
        <v>7</v>
      </c>
      <c r="AF14" s="8">
        <v>2</v>
      </c>
      <c r="AG14" s="7">
        <v>2</v>
      </c>
      <c r="AH14" s="9">
        <f t="shared" si="0"/>
        <v>91</v>
      </c>
      <c r="AI14" s="10">
        <f t="shared" si="1"/>
        <v>76</v>
      </c>
      <c r="AJ14" s="14">
        <f t="shared" si="2"/>
        <v>83.516483516483518</v>
      </c>
      <c r="AK14" s="15"/>
      <c r="AL14" s="15"/>
      <c r="AM14" s="15"/>
      <c r="AN14" s="15"/>
      <c r="AO14" s="15"/>
    </row>
    <row r="15" spans="1:41" ht="15.75" customHeight="1">
      <c r="A15" s="3">
        <v>11</v>
      </c>
      <c r="B15" s="4" t="s">
        <v>45</v>
      </c>
      <c r="C15" s="5" t="s">
        <v>46</v>
      </c>
      <c r="D15" s="6">
        <v>9</v>
      </c>
      <c r="E15" s="7">
        <v>7</v>
      </c>
      <c r="F15" s="8">
        <v>7</v>
      </c>
      <c r="G15" s="6">
        <v>5</v>
      </c>
      <c r="H15" s="9">
        <v>9</v>
      </c>
      <c r="I15" s="10">
        <v>7</v>
      </c>
      <c r="J15" s="6">
        <v>7</v>
      </c>
      <c r="K15" s="7">
        <v>6</v>
      </c>
      <c r="L15" s="11">
        <v>8</v>
      </c>
      <c r="M15" s="6">
        <v>6</v>
      </c>
      <c r="N15" s="12">
        <v>8</v>
      </c>
      <c r="O15" s="12">
        <v>7</v>
      </c>
      <c r="P15" s="6">
        <v>9</v>
      </c>
      <c r="Q15" s="6">
        <v>9</v>
      </c>
      <c r="R15" s="6">
        <v>4</v>
      </c>
      <c r="S15" s="6">
        <v>4</v>
      </c>
      <c r="T15" s="6">
        <v>4</v>
      </c>
      <c r="U15" s="7">
        <v>4</v>
      </c>
      <c r="V15" s="7">
        <v>2</v>
      </c>
      <c r="W15" s="7">
        <v>2</v>
      </c>
      <c r="X15" s="7">
        <v>3</v>
      </c>
      <c r="Y15" s="7">
        <v>1</v>
      </c>
      <c r="Z15" s="13">
        <v>8</v>
      </c>
      <c r="AA15" s="13">
        <v>2</v>
      </c>
      <c r="AB15" s="13">
        <v>4</v>
      </c>
      <c r="AC15" s="7">
        <v>1</v>
      </c>
      <c r="AD15" s="7">
        <v>7</v>
      </c>
      <c r="AE15" s="7">
        <v>2</v>
      </c>
      <c r="AF15" s="8">
        <v>2</v>
      </c>
      <c r="AG15" s="7">
        <v>2</v>
      </c>
      <c r="AH15" s="9">
        <f t="shared" si="0"/>
        <v>91</v>
      </c>
      <c r="AI15" s="10">
        <f t="shared" si="1"/>
        <v>65</v>
      </c>
      <c r="AJ15" s="14">
        <f t="shared" si="2"/>
        <v>71.428571428571431</v>
      </c>
      <c r="AK15" s="15"/>
      <c r="AL15" s="15"/>
      <c r="AM15" s="15"/>
      <c r="AN15" s="15"/>
      <c r="AO15" s="15"/>
    </row>
    <row r="16" spans="1:41" ht="15.75" customHeight="1">
      <c r="A16" s="3">
        <v>12</v>
      </c>
      <c r="B16" s="4" t="s">
        <v>47</v>
      </c>
      <c r="C16" s="5" t="s">
        <v>48</v>
      </c>
      <c r="D16" s="6">
        <v>9</v>
      </c>
      <c r="E16" s="7">
        <v>5</v>
      </c>
      <c r="F16" s="8">
        <v>7</v>
      </c>
      <c r="G16" s="6">
        <v>7</v>
      </c>
      <c r="H16" s="9">
        <v>9</v>
      </c>
      <c r="I16" s="10">
        <v>6</v>
      </c>
      <c r="J16" s="6">
        <v>7</v>
      </c>
      <c r="K16" s="7">
        <v>6</v>
      </c>
      <c r="L16" s="11">
        <v>8</v>
      </c>
      <c r="M16" s="6">
        <v>5</v>
      </c>
      <c r="N16" s="12">
        <v>8</v>
      </c>
      <c r="O16" s="12">
        <v>6</v>
      </c>
      <c r="P16" s="6">
        <v>9</v>
      </c>
      <c r="Q16" s="6">
        <v>3</v>
      </c>
      <c r="R16" s="6">
        <v>4</v>
      </c>
      <c r="S16" s="6">
        <v>4</v>
      </c>
      <c r="T16" s="6">
        <v>4</v>
      </c>
      <c r="U16" s="7">
        <v>4</v>
      </c>
      <c r="V16" s="7">
        <v>2</v>
      </c>
      <c r="W16" s="7">
        <v>2</v>
      </c>
      <c r="X16" s="7">
        <v>3</v>
      </c>
      <c r="Y16" s="7">
        <v>3</v>
      </c>
      <c r="Z16" s="13">
        <v>8</v>
      </c>
      <c r="AA16" s="13">
        <v>8</v>
      </c>
      <c r="AB16" s="13">
        <v>4</v>
      </c>
      <c r="AC16" s="7">
        <v>4</v>
      </c>
      <c r="AD16" s="7">
        <v>7</v>
      </c>
      <c r="AE16" s="7">
        <v>5</v>
      </c>
      <c r="AF16" s="8">
        <v>2</v>
      </c>
      <c r="AG16" s="7">
        <v>1</v>
      </c>
      <c r="AH16" s="9">
        <f t="shared" si="0"/>
        <v>91</v>
      </c>
      <c r="AI16" s="10">
        <f t="shared" si="1"/>
        <v>69</v>
      </c>
      <c r="AJ16" s="14">
        <f t="shared" si="2"/>
        <v>75.824175824175825</v>
      </c>
      <c r="AK16" s="15"/>
      <c r="AL16" s="15"/>
      <c r="AM16" s="15"/>
      <c r="AN16" s="15"/>
      <c r="AO16" s="15"/>
    </row>
    <row r="17" spans="1:41" ht="15.75" customHeight="1">
      <c r="A17" s="3">
        <v>13</v>
      </c>
      <c r="B17" s="4" t="s">
        <v>49</v>
      </c>
      <c r="C17" s="5" t="s">
        <v>50</v>
      </c>
      <c r="D17" s="6">
        <v>9</v>
      </c>
      <c r="E17" s="7">
        <v>7</v>
      </c>
      <c r="F17" s="8">
        <v>7</v>
      </c>
      <c r="G17" s="6">
        <v>6</v>
      </c>
      <c r="H17" s="9">
        <v>9</v>
      </c>
      <c r="I17" s="10">
        <v>8</v>
      </c>
      <c r="J17" s="6">
        <v>7</v>
      </c>
      <c r="K17" s="7">
        <v>5</v>
      </c>
      <c r="L17" s="11">
        <v>8</v>
      </c>
      <c r="M17" s="6">
        <v>6</v>
      </c>
      <c r="N17" s="12">
        <v>8</v>
      </c>
      <c r="O17" s="12">
        <v>6</v>
      </c>
      <c r="P17" s="6">
        <v>9</v>
      </c>
      <c r="Q17" s="6">
        <v>6</v>
      </c>
      <c r="R17" s="6">
        <v>4</v>
      </c>
      <c r="S17" s="6">
        <v>2</v>
      </c>
      <c r="T17" s="6">
        <v>4</v>
      </c>
      <c r="U17" s="7">
        <v>2</v>
      </c>
      <c r="V17" s="7">
        <v>2</v>
      </c>
      <c r="W17" s="7">
        <v>1</v>
      </c>
      <c r="X17" s="7">
        <v>3</v>
      </c>
      <c r="Y17" s="7">
        <v>3</v>
      </c>
      <c r="Z17" s="13">
        <v>8</v>
      </c>
      <c r="AA17" s="13">
        <v>6</v>
      </c>
      <c r="AB17" s="13">
        <v>4</v>
      </c>
      <c r="AC17" s="7">
        <v>3</v>
      </c>
      <c r="AD17" s="7">
        <v>7</v>
      </c>
      <c r="AE17" s="7">
        <v>7</v>
      </c>
      <c r="AF17" s="8">
        <v>2</v>
      </c>
      <c r="AG17" s="7">
        <v>2</v>
      </c>
      <c r="AH17" s="9">
        <f t="shared" si="0"/>
        <v>91</v>
      </c>
      <c r="AI17" s="10">
        <f t="shared" si="1"/>
        <v>70</v>
      </c>
      <c r="AJ17" s="14">
        <f t="shared" si="2"/>
        <v>76.923076923076934</v>
      </c>
      <c r="AK17" s="15"/>
      <c r="AL17" s="15"/>
      <c r="AM17" s="15"/>
      <c r="AN17" s="15"/>
      <c r="AO17" s="15"/>
    </row>
    <row r="18" spans="1:41" ht="15.75" customHeight="1">
      <c r="A18" s="3">
        <v>14</v>
      </c>
      <c r="B18" s="4" t="s">
        <v>51</v>
      </c>
      <c r="C18" s="5" t="s">
        <v>52</v>
      </c>
      <c r="D18" s="6">
        <v>9</v>
      </c>
      <c r="E18" s="7">
        <v>7</v>
      </c>
      <c r="F18" s="8">
        <v>7</v>
      </c>
      <c r="G18" s="6">
        <v>7</v>
      </c>
      <c r="H18" s="9">
        <v>9</v>
      </c>
      <c r="I18" s="10">
        <v>8</v>
      </c>
      <c r="J18" s="6">
        <v>7</v>
      </c>
      <c r="K18" s="7">
        <v>6</v>
      </c>
      <c r="L18" s="11">
        <v>8</v>
      </c>
      <c r="M18" s="6">
        <v>7</v>
      </c>
      <c r="N18" s="12">
        <v>8</v>
      </c>
      <c r="O18" s="12">
        <v>6</v>
      </c>
      <c r="P18" s="6">
        <v>9</v>
      </c>
      <c r="Q18" s="6">
        <v>6</v>
      </c>
      <c r="R18" s="6">
        <v>4</v>
      </c>
      <c r="S18" s="6">
        <v>4</v>
      </c>
      <c r="T18" s="6">
        <v>4</v>
      </c>
      <c r="U18" s="7">
        <v>4</v>
      </c>
      <c r="V18" s="7">
        <v>2</v>
      </c>
      <c r="W18" s="7">
        <v>2</v>
      </c>
      <c r="X18" s="7">
        <v>3</v>
      </c>
      <c r="Y18" s="7">
        <v>3</v>
      </c>
      <c r="Z18" s="13">
        <v>8</v>
      </c>
      <c r="AA18" s="13">
        <v>8</v>
      </c>
      <c r="AB18" s="13">
        <v>4</v>
      </c>
      <c r="AC18" s="7">
        <v>4</v>
      </c>
      <c r="AD18" s="7">
        <v>7</v>
      </c>
      <c r="AE18" s="7">
        <v>5</v>
      </c>
      <c r="AF18" s="8">
        <v>2</v>
      </c>
      <c r="AG18" s="7">
        <v>1</v>
      </c>
      <c r="AH18" s="9">
        <f t="shared" si="0"/>
        <v>91</v>
      </c>
      <c r="AI18" s="10">
        <f t="shared" si="1"/>
        <v>78</v>
      </c>
      <c r="AJ18" s="14">
        <f t="shared" si="2"/>
        <v>85.714285714285708</v>
      </c>
      <c r="AK18" s="15"/>
      <c r="AL18" s="15"/>
      <c r="AM18" s="15"/>
      <c r="AN18" s="15"/>
      <c r="AO18" s="15"/>
    </row>
    <row r="19" spans="1:41" ht="15.75" customHeight="1">
      <c r="A19" s="3">
        <v>15</v>
      </c>
      <c r="B19" s="4" t="s">
        <v>53</v>
      </c>
      <c r="C19" s="5" t="s">
        <v>54</v>
      </c>
      <c r="D19" s="6">
        <v>9</v>
      </c>
      <c r="E19" s="7">
        <v>6</v>
      </c>
      <c r="F19" s="8">
        <v>7</v>
      </c>
      <c r="G19" s="6">
        <v>4</v>
      </c>
      <c r="H19" s="9">
        <v>9</v>
      </c>
      <c r="I19" s="10">
        <v>7</v>
      </c>
      <c r="J19" s="6">
        <v>7</v>
      </c>
      <c r="K19" s="7">
        <v>5</v>
      </c>
      <c r="L19" s="11">
        <v>8</v>
      </c>
      <c r="M19" s="6">
        <v>6</v>
      </c>
      <c r="N19" s="12">
        <v>8</v>
      </c>
      <c r="O19" s="12">
        <v>5</v>
      </c>
      <c r="P19" s="6">
        <v>9</v>
      </c>
      <c r="Q19" s="6">
        <v>6</v>
      </c>
      <c r="R19" s="6">
        <v>4</v>
      </c>
      <c r="S19" s="6">
        <v>4</v>
      </c>
      <c r="T19" s="6">
        <v>4</v>
      </c>
      <c r="U19" s="7">
        <v>4</v>
      </c>
      <c r="V19" s="7">
        <v>2</v>
      </c>
      <c r="W19" s="7">
        <v>2</v>
      </c>
      <c r="X19" s="7">
        <v>3</v>
      </c>
      <c r="Y19" s="7">
        <v>2</v>
      </c>
      <c r="Z19" s="13">
        <v>8</v>
      </c>
      <c r="AA19" s="13">
        <v>0</v>
      </c>
      <c r="AB19" s="13">
        <v>4</v>
      </c>
      <c r="AC19" s="7">
        <v>0</v>
      </c>
      <c r="AD19" s="7">
        <v>7</v>
      </c>
      <c r="AE19" s="7">
        <v>5</v>
      </c>
      <c r="AF19" s="8">
        <v>2</v>
      </c>
      <c r="AG19" s="7">
        <v>1</v>
      </c>
      <c r="AH19" s="9">
        <f t="shared" si="0"/>
        <v>91</v>
      </c>
      <c r="AI19" s="10">
        <f t="shared" si="1"/>
        <v>57</v>
      </c>
      <c r="AJ19" s="14">
        <f t="shared" si="2"/>
        <v>62.637362637362635</v>
      </c>
      <c r="AK19" s="15"/>
      <c r="AL19" s="15"/>
      <c r="AM19" s="15"/>
      <c r="AN19" s="15"/>
      <c r="AO19" s="15"/>
    </row>
    <row r="20" spans="1:41" ht="15.75" customHeight="1">
      <c r="A20" s="3">
        <v>16</v>
      </c>
      <c r="B20" s="4" t="s">
        <v>55</v>
      </c>
      <c r="C20" s="5" t="s">
        <v>56</v>
      </c>
      <c r="D20" s="6">
        <v>9</v>
      </c>
      <c r="E20" s="7">
        <v>7</v>
      </c>
      <c r="F20" s="8">
        <v>7</v>
      </c>
      <c r="G20" s="6">
        <v>7</v>
      </c>
      <c r="H20" s="9">
        <v>9</v>
      </c>
      <c r="I20" s="10">
        <v>7</v>
      </c>
      <c r="J20" s="6">
        <v>7</v>
      </c>
      <c r="K20" s="7">
        <v>7</v>
      </c>
      <c r="L20" s="11">
        <v>8</v>
      </c>
      <c r="M20" s="6">
        <v>7</v>
      </c>
      <c r="N20" s="12">
        <v>8</v>
      </c>
      <c r="O20" s="12">
        <v>6</v>
      </c>
      <c r="P20" s="6">
        <v>9</v>
      </c>
      <c r="Q20" s="6">
        <v>6</v>
      </c>
      <c r="R20" s="6">
        <v>4</v>
      </c>
      <c r="S20" s="6">
        <v>2</v>
      </c>
      <c r="T20" s="6">
        <v>4</v>
      </c>
      <c r="U20" s="7">
        <v>2</v>
      </c>
      <c r="V20" s="7">
        <v>2</v>
      </c>
      <c r="W20" s="7">
        <v>1</v>
      </c>
      <c r="X20" s="7">
        <v>3</v>
      </c>
      <c r="Y20" s="7">
        <v>1</v>
      </c>
      <c r="Z20" s="13">
        <v>8</v>
      </c>
      <c r="AA20" s="13">
        <v>8</v>
      </c>
      <c r="AB20" s="13">
        <v>4</v>
      </c>
      <c r="AC20" s="7">
        <v>4</v>
      </c>
      <c r="AD20" s="7">
        <v>7</v>
      </c>
      <c r="AE20" s="7">
        <v>7</v>
      </c>
      <c r="AF20" s="8">
        <v>2</v>
      </c>
      <c r="AG20" s="7">
        <v>2</v>
      </c>
      <c r="AH20" s="9">
        <f t="shared" si="0"/>
        <v>91</v>
      </c>
      <c r="AI20" s="10">
        <f t="shared" si="1"/>
        <v>74</v>
      </c>
      <c r="AJ20" s="14">
        <f t="shared" si="2"/>
        <v>81.318681318681314</v>
      </c>
      <c r="AK20" s="15"/>
      <c r="AL20" s="15"/>
      <c r="AM20" s="15"/>
      <c r="AN20" s="15"/>
      <c r="AO20" s="15"/>
    </row>
    <row r="21" spans="1:41" ht="15.75" customHeight="1">
      <c r="A21" s="3">
        <v>17</v>
      </c>
      <c r="B21" s="4" t="s">
        <v>57</v>
      </c>
      <c r="C21" s="5" t="s">
        <v>58</v>
      </c>
      <c r="D21" s="6">
        <v>9</v>
      </c>
      <c r="E21" s="7">
        <v>5</v>
      </c>
      <c r="F21" s="8">
        <v>7</v>
      </c>
      <c r="G21" s="6">
        <v>3</v>
      </c>
      <c r="H21" s="9">
        <v>9</v>
      </c>
      <c r="I21" s="10">
        <v>5</v>
      </c>
      <c r="J21" s="6">
        <v>7</v>
      </c>
      <c r="K21" s="7">
        <v>4</v>
      </c>
      <c r="L21" s="11">
        <v>8</v>
      </c>
      <c r="M21" s="6">
        <v>4</v>
      </c>
      <c r="N21" s="12">
        <v>8</v>
      </c>
      <c r="O21" s="12">
        <v>4</v>
      </c>
      <c r="P21" s="6">
        <v>9</v>
      </c>
      <c r="Q21" s="6">
        <v>6</v>
      </c>
      <c r="R21" s="6">
        <v>4</v>
      </c>
      <c r="S21" s="6">
        <v>2</v>
      </c>
      <c r="T21" s="6">
        <v>4</v>
      </c>
      <c r="U21" s="7">
        <v>2</v>
      </c>
      <c r="V21" s="7">
        <v>2</v>
      </c>
      <c r="W21" s="7">
        <v>1</v>
      </c>
      <c r="X21" s="7">
        <v>3</v>
      </c>
      <c r="Y21" s="7">
        <v>1</v>
      </c>
      <c r="Z21" s="13">
        <v>8</v>
      </c>
      <c r="AA21" s="13">
        <v>2</v>
      </c>
      <c r="AB21" s="13">
        <v>4</v>
      </c>
      <c r="AC21" s="7">
        <v>1</v>
      </c>
      <c r="AD21" s="7">
        <v>7</v>
      </c>
      <c r="AE21" s="7">
        <v>7</v>
      </c>
      <c r="AF21" s="8">
        <v>2</v>
      </c>
      <c r="AG21" s="7">
        <v>1</v>
      </c>
      <c r="AH21" s="9">
        <f t="shared" si="0"/>
        <v>91</v>
      </c>
      <c r="AI21" s="10">
        <f t="shared" si="1"/>
        <v>48</v>
      </c>
      <c r="AJ21" s="14">
        <f t="shared" si="2"/>
        <v>52.747252747252752</v>
      </c>
      <c r="AK21" s="15"/>
      <c r="AL21" s="15"/>
      <c r="AM21" s="15"/>
      <c r="AN21" s="15"/>
      <c r="AO21" s="15"/>
    </row>
    <row r="22" spans="1:41" ht="15.75" customHeight="1">
      <c r="A22" s="3">
        <v>18</v>
      </c>
      <c r="B22" s="4" t="s">
        <v>59</v>
      </c>
      <c r="C22" s="5" t="s">
        <v>60</v>
      </c>
      <c r="D22" s="6">
        <v>9</v>
      </c>
      <c r="E22" s="7">
        <v>8</v>
      </c>
      <c r="F22" s="8">
        <v>7</v>
      </c>
      <c r="G22" s="6">
        <v>6</v>
      </c>
      <c r="H22" s="9">
        <v>9</v>
      </c>
      <c r="I22" s="10">
        <v>8</v>
      </c>
      <c r="J22" s="6">
        <v>7</v>
      </c>
      <c r="K22" s="7">
        <v>5</v>
      </c>
      <c r="L22" s="11">
        <v>8</v>
      </c>
      <c r="M22" s="6">
        <v>8</v>
      </c>
      <c r="N22" s="12">
        <v>8</v>
      </c>
      <c r="O22" s="12">
        <v>7</v>
      </c>
      <c r="P22" s="6">
        <v>9</v>
      </c>
      <c r="Q22" s="6">
        <v>9</v>
      </c>
      <c r="R22" s="6">
        <v>4</v>
      </c>
      <c r="S22" s="6">
        <v>4</v>
      </c>
      <c r="T22" s="6">
        <v>4</v>
      </c>
      <c r="U22" s="7">
        <v>2</v>
      </c>
      <c r="V22" s="7">
        <v>2</v>
      </c>
      <c r="W22" s="7">
        <v>2</v>
      </c>
      <c r="X22" s="7">
        <v>3</v>
      </c>
      <c r="Y22" s="7">
        <v>1</v>
      </c>
      <c r="Z22" s="13">
        <v>8</v>
      </c>
      <c r="AA22" s="13">
        <v>6</v>
      </c>
      <c r="AB22" s="13">
        <v>4</v>
      </c>
      <c r="AC22" s="7">
        <v>3</v>
      </c>
      <c r="AD22" s="7">
        <v>7</v>
      </c>
      <c r="AE22" s="7">
        <v>7</v>
      </c>
      <c r="AF22" s="8">
        <v>2</v>
      </c>
      <c r="AG22" s="7">
        <v>2</v>
      </c>
      <c r="AH22" s="9">
        <f t="shared" si="0"/>
        <v>91</v>
      </c>
      <c r="AI22" s="10">
        <f t="shared" si="1"/>
        <v>78</v>
      </c>
      <c r="AJ22" s="14">
        <f t="shared" si="2"/>
        <v>85.714285714285708</v>
      </c>
      <c r="AK22" s="15"/>
      <c r="AL22" s="15"/>
      <c r="AM22" s="15"/>
      <c r="AN22" s="15"/>
      <c r="AO22" s="15"/>
    </row>
    <row r="23" spans="1:41" ht="15.75" customHeight="1">
      <c r="A23" s="3">
        <v>19</v>
      </c>
      <c r="B23" s="4" t="s">
        <v>61</v>
      </c>
      <c r="C23" s="5" t="s">
        <v>62</v>
      </c>
      <c r="D23" s="6">
        <v>9</v>
      </c>
      <c r="E23" s="7">
        <v>8</v>
      </c>
      <c r="F23" s="8">
        <v>7</v>
      </c>
      <c r="G23" s="6">
        <v>6</v>
      </c>
      <c r="H23" s="9">
        <v>9</v>
      </c>
      <c r="I23" s="10">
        <v>9</v>
      </c>
      <c r="J23" s="6">
        <v>7</v>
      </c>
      <c r="K23" s="7">
        <v>5</v>
      </c>
      <c r="L23" s="11">
        <v>8</v>
      </c>
      <c r="M23" s="6">
        <v>8</v>
      </c>
      <c r="N23" s="12">
        <v>8</v>
      </c>
      <c r="O23" s="12">
        <v>6</v>
      </c>
      <c r="P23" s="6">
        <v>9</v>
      </c>
      <c r="Q23" s="6">
        <v>9</v>
      </c>
      <c r="R23" s="6">
        <v>4</v>
      </c>
      <c r="S23" s="6">
        <v>4</v>
      </c>
      <c r="T23" s="6">
        <v>4</v>
      </c>
      <c r="U23" s="7">
        <v>2</v>
      </c>
      <c r="V23" s="7">
        <v>2</v>
      </c>
      <c r="W23" s="7">
        <v>2</v>
      </c>
      <c r="X23" s="7">
        <v>3</v>
      </c>
      <c r="Y23" s="7">
        <v>3</v>
      </c>
      <c r="Z23" s="13">
        <v>8</v>
      </c>
      <c r="AA23" s="13">
        <v>6</v>
      </c>
      <c r="AB23" s="13">
        <v>4</v>
      </c>
      <c r="AC23" s="7">
        <v>3</v>
      </c>
      <c r="AD23" s="7">
        <v>7</v>
      </c>
      <c r="AE23" s="7">
        <v>7</v>
      </c>
      <c r="AF23" s="8">
        <v>2</v>
      </c>
      <c r="AG23" s="7">
        <v>2</v>
      </c>
      <c r="AH23" s="9">
        <f t="shared" si="0"/>
        <v>91</v>
      </c>
      <c r="AI23" s="10">
        <f t="shared" si="1"/>
        <v>80</v>
      </c>
      <c r="AJ23" s="14">
        <f t="shared" si="2"/>
        <v>87.912087912087912</v>
      </c>
      <c r="AK23" s="15"/>
      <c r="AL23" s="15"/>
      <c r="AM23" s="15"/>
      <c r="AN23" s="15"/>
      <c r="AO23" s="15"/>
    </row>
    <row r="24" spans="1:41" ht="15.75" customHeight="1">
      <c r="A24" s="3">
        <v>20</v>
      </c>
      <c r="B24" s="4" t="s">
        <v>63</v>
      </c>
      <c r="C24" s="5" t="s">
        <v>64</v>
      </c>
      <c r="D24" s="6">
        <v>9</v>
      </c>
      <c r="E24" s="7">
        <v>7</v>
      </c>
      <c r="F24" s="8">
        <v>7</v>
      </c>
      <c r="G24" s="6">
        <v>7</v>
      </c>
      <c r="H24" s="9">
        <v>9</v>
      </c>
      <c r="I24" s="10">
        <v>7</v>
      </c>
      <c r="J24" s="6">
        <v>7</v>
      </c>
      <c r="K24" s="7">
        <v>6</v>
      </c>
      <c r="L24" s="11">
        <v>8</v>
      </c>
      <c r="M24" s="6">
        <v>7</v>
      </c>
      <c r="N24" s="12">
        <v>8</v>
      </c>
      <c r="O24" s="12">
        <v>6</v>
      </c>
      <c r="P24" s="6">
        <v>9</v>
      </c>
      <c r="Q24" s="6">
        <v>6</v>
      </c>
      <c r="R24" s="6">
        <v>4</v>
      </c>
      <c r="S24" s="6">
        <v>4</v>
      </c>
      <c r="T24" s="6">
        <v>4</v>
      </c>
      <c r="U24" s="7">
        <v>2</v>
      </c>
      <c r="V24" s="7">
        <v>2</v>
      </c>
      <c r="W24" s="7">
        <v>2</v>
      </c>
      <c r="X24" s="7">
        <v>3</v>
      </c>
      <c r="Y24" s="7">
        <v>1</v>
      </c>
      <c r="Z24" s="13">
        <v>8</v>
      </c>
      <c r="AA24" s="13">
        <v>8</v>
      </c>
      <c r="AB24" s="13">
        <v>4</v>
      </c>
      <c r="AC24" s="7">
        <v>4</v>
      </c>
      <c r="AD24" s="7">
        <v>7</v>
      </c>
      <c r="AE24" s="7">
        <v>7</v>
      </c>
      <c r="AF24" s="8">
        <v>2</v>
      </c>
      <c r="AG24" s="7">
        <v>2</v>
      </c>
      <c r="AH24" s="9">
        <f t="shared" si="0"/>
        <v>91</v>
      </c>
      <c r="AI24" s="10">
        <f t="shared" si="1"/>
        <v>76</v>
      </c>
      <c r="AJ24" s="14">
        <f t="shared" si="2"/>
        <v>83.516483516483518</v>
      </c>
      <c r="AK24" s="15"/>
      <c r="AL24" s="15"/>
      <c r="AM24" s="15"/>
      <c r="AN24" s="15">
        <v>27</v>
      </c>
      <c r="AO24" s="15"/>
    </row>
    <row r="25" spans="1:41" ht="15.75" customHeight="1">
      <c r="A25" s="3">
        <v>21</v>
      </c>
      <c r="B25" s="4" t="s">
        <v>65</v>
      </c>
      <c r="C25" s="5" t="s">
        <v>66</v>
      </c>
      <c r="D25" s="6">
        <v>9</v>
      </c>
      <c r="E25" s="7">
        <v>8</v>
      </c>
      <c r="F25" s="8">
        <v>7</v>
      </c>
      <c r="G25" s="6">
        <v>6</v>
      </c>
      <c r="H25" s="9">
        <v>9</v>
      </c>
      <c r="I25" s="16">
        <v>8</v>
      </c>
      <c r="J25" s="6">
        <v>7</v>
      </c>
      <c r="K25" s="7">
        <v>6</v>
      </c>
      <c r="L25" s="11">
        <v>8</v>
      </c>
      <c r="M25" s="6">
        <v>8</v>
      </c>
      <c r="N25" s="12">
        <v>8</v>
      </c>
      <c r="O25" s="12">
        <v>8</v>
      </c>
      <c r="P25" s="6">
        <v>9</v>
      </c>
      <c r="Q25" s="6">
        <v>9</v>
      </c>
      <c r="R25" s="6">
        <v>4</v>
      </c>
      <c r="S25" s="6">
        <v>4</v>
      </c>
      <c r="T25" s="6">
        <v>4</v>
      </c>
      <c r="U25" s="7">
        <v>4</v>
      </c>
      <c r="V25" s="7">
        <v>2</v>
      </c>
      <c r="W25" s="7">
        <v>2</v>
      </c>
      <c r="X25" s="7">
        <v>3</v>
      </c>
      <c r="Y25" s="7">
        <v>2</v>
      </c>
      <c r="Z25" s="13">
        <v>8</v>
      </c>
      <c r="AA25" s="13">
        <v>6</v>
      </c>
      <c r="AB25" s="13">
        <v>4</v>
      </c>
      <c r="AC25" s="7">
        <v>3</v>
      </c>
      <c r="AD25" s="7">
        <v>7</v>
      </c>
      <c r="AE25" s="7">
        <v>0</v>
      </c>
      <c r="AF25" s="8">
        <v>2</v>
      </c>
      <c r="AG25" s="7">
        <v>2</v>
      </c>
      <c r="AH25" s="9">
        <f t="shared" si="0"/>
        <v>91</v>
      </c>
      <c r="AI25" s="10">
        <f t="shared" si="1"/>
        <v>76</v>
      </c>
      <c r="AJ25" s="14">
        <f t="shared" si="2"/>
        <v>83.516483516483518</v>
      </c>
      <c r="AK25" s="15"/>
      <c r="AL25" s="15"/>
      <c r="AM25" s="15"/>
      <c r="AN25" s="15"/>
      <c r="AO25" s="15"/>
    </row>
    <row r="26" spans="1:41" ht="15.75" customHeight="1">
      <c r="A26" s="3">
        <v>22</v>
      </c>
      <c r="B26" s="4" t="s">
        <v>67</v>
      </c>
      <c r="C26" s="5" t="s">
        <v>68</v>
      </c>
      <c r="D26" s="6">
        <v>9</v>
      </c>
      <c r="E26" s="7">
        <v>9</v>
      </c>
      <c r="F26" s="8">
        <v>7</v>
      </c>
      <c r="G26" s="6">
        <v>7</v>
      </c>
      <c r="H26" s="9">
        <v>9</v>
      </c>
      <c r="I26" s="10">
        <v>9</v>
      </c>
      <c r="J26" s="6">
        <v>7</v>
      </c>
      <c r="K26" s="7">
        <v>7</v>
      </c>
      <c r="L26" s="11">
        <v>8</v>
      </c>
      <c r="M26" s="6">
        <v>8</v>
      </c>
      <c r="N26" s="12">
        <v>8</v>
      </c>
      <c r="O26" s="12">
        <v>8</v>
      </c>
      <c r="P26" s="6">
        <v>9</v>
      </c>
      <c r="Q26" s="6">
        <v>9</v>
      </c>
      <c r="R26" s="6">
        <v>4</v>
      </c>
      <c r="S26" s="6">
        <v>4</v>
      </c>
      <c r="T26" s="6">
        <v>4</v>
      </c>
      <c r="U26" s="7">
        <v>2</v>
      </c>
      <c r="V26" s="7">
        <v>2</v>
      </c>
      <c r="W26" s="7">
        <v>2</v>
      </c>
      <c r="X26" s="7">
        <v>3</v>
      </c>
      <c r="Y26" s="7">
        <v>3</v>
      </c>
      <c r="Z26" s="13">
        <v>8</v>
      </c>
      <c r="AA26" s="13">
        <v>6</v>
      </c>
      <c r="AB26" s="13">
        <v>4</v>
      </c>
      <c r="AC26" s="7">
        <v>3</v>
      </c>
      <c r="AD26" s="7">
        <v>7</v>
      </c>
      <c r="AE26" s="7">
        <v>7</v>
      </c>
      <c r="AF26" s="8">
        <v>2</v>
      </c>
      <c r="AG26" s="7">
        <v>2</v>
      </c>
      <c r="AH26" s="9">
        <f t="shared" si="0"/>
        <v>91</v>
      </c>
      <c r="AI26" s="10">
        <f t="shared" si="1"/>
        <v>86</v>
      </c>
      <c r="AJ26" s="14">
        <f t="shared" si="2"/>
        <v>94.505494505494497</v>
      </c>
      <c r="AK26" s="15"/>
      <c r="AL26" s="15"/>
      <c r="AM26" s="15"/>
      <c r="AN26" s="15"/>
      <c r="AO26" s="15"/>
    </row>
    <row r="27" spans="1:41" ht="15.75" customHeight="1">
      <c r="A27" s="3">
        <v>23</v>
      </c>
      <c r="B27" s="4" t="s">
        <v>69</v>
      </c>
      <c r="C27" s="5" t="s">
        <v>70</v>
      </c>
      <c r="D27" s="6">
        <v>9</v>
      </c>
      <c r="E27" s="7">
        <v>7</v>
      </c>
      <c r="F27" s="8">
        <v>7</v>
      </c>
      <c r="G27" s="6">
        <v>5</v>
      </c>
      <c r="H27" s="9">
        <v>9</v>
      </c>
      <c r="I27" s="10">
        <v>7</v>
      </c>
      <c r="J27" s="6">
        <v>7</v>
      </c>
      <c r="K27" s="7">
        <v>5</v>
      </c>
      <c r="L27" s="11">
        <v>8</v>
      </c>
      <c r="M27" s="6">
        <v>7</v>
      </c>
      <c r="N27" s="12">
        <v>8</v>
      </c>
      <c r="O27" s="12">
        <v>6</v>
      </c>
      <c r="P27" s="6">
        <v>6</v>
      </c>
      <c r="Q27" s="6">
        <v>6</v>
      </c>
      <c r="R27" s="6">
        <v>6</v>
      </c>
      <c r="S27" s="6">
        <v>6</v>
      </c>
      <c r="T27" s="6">
        <v>4</v>
      </c>
      <c r="U27" s="7">
        <v>4</v>
      </c>
      <c r="V27" s="7">
        <v>3</v>
      </c>
      <c r="W27" s="7">
        <v>3</v>
      </c>
      <c r="X27" s="7">
        <v>3</v>
      </c>
      <c r="Y27" s="7">
        <v>2</v>
      </c>
      <c r="Z27" s="13">
        <v>8</v>
      </c>
      <c r="AA27" s="13">
        <v>4</v>
      </c>
      <c r="AB27" s="13">
        <v>4</v>
      </c>
      <c r="AC27" s="7">
        <v>2</v>
      </c>
      <c r="AD27" s="7">
        <v>7</v>
      </c>
      <c r="AE27" s="7">
        <v>5</v>
      </c>
      <c r="AF27" s="8">
        <v>2</v>
      </c>
      <c r="AG27" s="7">
        <v>1</v>
      </c>
      <c r="AH27" s="9">
        <f t="shared" si="0"/>
        <v>91</v>
      </c>
      <c r="AI27" s="10">
        <f t="shared" si="1"/>
        <v>70</v>
      </c>
      <c r="AJ27" s="14">
        <f t="shared" si="2"/>
        <v>76.923076923076934</v>
      </c>
      <c r="AK27" s="15"/>
      <c r="AL27" s="15"/>
      <c r="AM27" s="15"/>
      <c r="AN27" s="15"/>
      <c r="AO27" s="15"/>
    </row>
    <row r="28" spans="1:41" ht="15.75" customHeight="1">
      <c r="A28" s="3">
        <v>24</v>
      </c>
      <c r="B28" s="4" t="s">
        <v>71</v>
      </c>
      <c r="C28" s="5" t="s">
        <v>72</v>
      </c>
      <c r="D28" s="6">
        <v>9</v>
      </c>
      <c r="E28" s="7">
        <v>6</v>
      </c>
      <c r="F28" s="8">
        <v>7</v>
      </c>
      <c r="G28" s="6">
        <v>6</v>
      </c>
      <c r="H28" s="9">
        <v>9</v>
      </c>
      <c r="I28" s="10">
        <v>6</v>
      </c>
      <c r="J28" s="6">
        <v>7</v>
      </c>
      <c r="K28" s="7">
        <v>7</v>
      </c>
      <c r="L28" s="11">
        <v>8</v>
      </c>
      <c r="M28" s="6">
        <v>5</v>
      </c>
      <c r="N28" s="12">
        <v>8</v>
      </c>
      <c r="O28" s="12">
        <v>6</v>
      </c>
      <c r="P28" s="6">
        <v>6</v>
      </c>
      <c r="Q28" s="6">
        <v>6</v>
      </c>
      <c r="R28" s="6">
        <v>6</v>
      </c>
      <c r="S28" s="6">
        <v>4</v>
      </c>
      <c r="T28" s="6">
        <v>4</v>
      </c>
      <c r="U28" s="7">
        <v>4</v>
      </c>
      <c r="V28" s="7">
        <v>3</v>
      </c>
      <c r="W28" s="7">
        <v>2</v>
      </c>
      <c r="X28" s="7">
        <v>3</v>
      </c>
      <c r="Y28" s="7">
        <v>3</v>
      </c>
      <c r="Z28" s="13">
        <v>8</v>
      </c>
      <c r="AA28" s="13">
        <v>8</v>
      </c>
      <c r="AB28" s="13">
        <v>4</v>
      </c>
      <c r="AC28" s="7">
        <v>4</v>
      </c>
      <c r="AD28" s="7">
        <v>7</v>
      </c>
      <c r="AE28" s="7">
        <v>7</v>
      </c>
      <c r="AF28" s="8">
        <v>2</v>
      </c>
      <c r="AG28" s="7">
        <v>2</v>
      </c>
      <c r="AH28" s="9">
        <f t="shared" si="0"/>
        <v>91</v>
      </c>
      <c r="AI28" s="10">
        <f t="shared" si="1"/>
        <v>76</v>
      </c>
      <c r="AJ28" s="14">
        <f t="shared" si="2"/>
        <v>83.516483516483518</v>
      </c>
      <c r="AK28" s="15"/>
      <c r="AL28" s="15"/>
      <c r="AM28" s="15"/>
      <c r="AN28" s="15"/>
      <c r="AO28" s="15"/>
    </row>
    <row r="29" spans="1:41" ht="15.75" customHeight="1">
      <c r="A29" s="3">
        <v>25</v>
      </c>
      <c r="B29" s="4" t="s">
        <v>73</v>
      </c>
      <c r="C29" s="17" t="s">
        <v>74</v>
      </c>
      <c r="D29" s="6">
        <v>9</v>
      </c>
      <c r="E29" s="7">
        <v>9</v>
      </c>
      <c r="F29" s="8">
        <v>7</v>
      </c>
      <c r="G29" s="6">
        <v>7</v>
      </c>
      <c r="H29" s="9">
        <v>9</v>
      </c>
      <c r="I29" s="10">
        <v>9</v>
      </c>
      <c r="J29" s="6">
        <v>7</v>
      </c>
      <c r="K29" s="7">
        <v>7</v>
      </c>
      <c r="L29" s="11">
        <v>8</v>
      </c>
      <c r="M29" s="6">
        <v>8</v>
      </c>
      <c r="N29" s="12">
        <v>8</v>
      </c>
      <c r="O29" s="12">
        <v>8</v>
      </c>
      <c r="P29" s="6">
        <v>6</v>
      </c>
      <c r="Q29" s="6">
        <v>6</v>
      </c>
      <c r="R29" s="6">
        <v>6</v>
      </c>
      <c r="S29" s="6">
        <v>6</v>
      </c>
      <c r="T29" s="6">
        <v>4</v>
      </c>
      <c r="U29" s="7">
        <v>4</v>
      </c>
      <c r="V29" s="7">
        <v>3</v>
      </c>
      <c r="W29" s="7">
        <v>2</v>
      </c>
      <c r="X29" s="7">
        <v>3</v>
      </c>
      <c r="Y29" s="7">
        <v>3</v>
      </c>
      <c r="Z29" s="13">
        <v>8</v>
      </c>
      <c r="AA29" s="13">
        <v>4</v>
      </c>
      <c r="AB29" s="13">
        <v>4</v>
      </c>
      <c r="AC29" s="7">
        <v>2</v>
      </c>
      <c r="AD29" s="7">
        <v>7</v>
      </c>
      <c r="AE29" s="7">
        <v>7</v>
      </c>
      <c r="AF29" s="8">
        <v>2</v>
      </c>
      <c r="AG29" s="7">
        <v>2</v>
      </c>
      <c r="AH29" s="9">
        <f t="shared" si="0"/>
        <v>91</v>
      </c>
      <c r="AI29" s="10">
        <f t="shared" si="1"/>
        <v>84</v>
      </c>
      <c r="AJ29" s="14">
        <f t="shared" si="2"/>
        <v>92.307692307692307</v>
      </c>
      <c r="AK29" s="15"/>
      <c r="AL29" s="15"/>
      <c r="AM29" s="15"/>
      <c r="AN29" s="15"/>
      <c r="AO29" s="15"/>
    </row>
    <row r="30" spans="1:41" ht="15.75" customHeight="1">
      <c r="A30" s="3">
        <v>26</v>
      </c>
      <c r="B30" s="4" t="s">
        <v>75</v>
      </c>
      <c r="C30" s="17" t="s">
        <v>76</v>
      </c>
      <c r="D30" s="6">
        <v>9</v>
      </c>
      <c r="E30" s="7">
        <v>7</v>
      </c>
      <c r="F30" s="8">
        <v>7</v>
      </c>
      <c r="G30" s="6">
        <v>4</v>
      </c>
      <c r="H30" s="9">
        <v>9</v>
      </c>
      <c r="I30" s="10">
        <v>6</v>
      </c>
      <c r="J30" s="6">
        <v>7</v>
      </c>
      <c r="K30" s="7">
        <v>4</v>
      </c>
      <c r="L30" s="11">
        <v>8</v>
      </c>
      <c r="M30" s="6">
        <v>6</v>
      </c>
      <c r="N30" s="12">
        <v>8</v>
      </c>
      <c r="O30" s="12">
        <v>7</v>
      </c>
      <c r="P30" s="6">
        <v>6</v>
      </c>
      <c r="Q30" s="6">
        <v>6</v>
      </c>
      <c r="R30" s="6">
        <v>6</v>
      </c>
      <c r="S30" s="6">
        <v>4</v>
      </c>
      <c r="T30" s="6">
        <v>4</v>
      </c>
      <c r="U30" s="7">
        <v>4</v>
      </c>
      <c r="V30" s="7">
        <v>3</v>
      </c>
      <c r="W30" s="7">
        <v>3</v>
      </c>
      <c r="X30" s="7">
        <v>3</v>
      </c>
      <c r="Y30" s="7">
        <v>3</v>
      </c>
      <c r="Z30" s="13">
        <v>8</v>
      </c>
      <c r="AA30" s="13">
        <v>6</v>
      </c>
      <c r="AB30" s="13">
        <v>4</v>
      </c>
      <c r="AC30" s="7">
        <v>3</v>
      </c>
      <c r="AD30" s="7">
        <v>7</v>
      </c>
      <c r="AE30" s="7">
        <v>7</v>
      </c>
      <c r="AF30" s="8">
        <v>2</v>
      </c>
      <c r="AG30" s="7">
        <v>2</v>
      </c>
      <c r="AH30" s="9">
        <f t="shared" si="0"/>
        <v>91</v>
      </c>
      <c r="AI30" s="10">
        <f t="shared" si="1"/>
        <v>72</v>
      </c>
      <c r="AJ30" s="14">
        <f t="shared" si="2"/>
        <v>79.120879120879124</v>
      </c>
      <c r="AK30" s="15"/>
      <c r="AL30" s="15"/>
      <c r="AM30" s="15"/>
      <c r="AN30" s="15"/>
      <c r="AO30" s="15"/>
    </row>
    <row r="31" spans="1:41" ht="15.75" customHeight="1">
      <c r="A31" s="3">
        <v>27</v>
      </c>
      <c r="B31" s="4" t="s">
        <v>77</v>
      </c>
      <c r="C31" s="17" t="s">
        <v>78</v>
      </c>
      <c r="D31" s="6">
        <v>9</v>
      </c>
      <c r="E31" s="7">
        <v>8</v>
      </c>
      <c r="F31" s="8">
        <v>7</v>
      </c>
      <c r="G31" s="6">
        <v>6</v>
      </c>
      <c r="H31" s="9">
        <v>9</v>
      </c>
      <c r="I31" s="10">
        <v>8</v>
      </c>
      <c r="J31" s="6">
        <v>7</v>
      </c>
      <c r="K31" s="7">
        <v>6</v>
      </c>
      <c r="L31" s="11">
        <v>8</v>
      </c>
      <c r="M31" s="6">
        <v>7</v>
      </c>
      <c r="N31" s="12">
        <v>8</v>
      </c>
      <c r="O31" s="12">
        <v>7</v>
      </c>
      <c r="P31" s="6">
        <v>6</v>
      </c>
      <c r="Q31" s="6">
        <v>6</v>
      </c>
      <c r="R31" s="6">
        <v>6</v>
      </c>
      <c r="S31" s="6">
        <v>6</v>
      </c>
      <c r="T31" s="6">
        <v>4</v>
      </c>
      <c r="U31" s="7">
        <v>2</v>
      </c>
      <c r="V31" s="7">
        <v>3</v>
      </c>
      <c r="W31" s="7">
        <v>3</v>
      </c>
      <c r="X31" s="7">
        <v>3</v>
      </c>
      <c r="Y31" s="7">
        <v>1</v>
      </c>
      <c r="Z31" s="13">
        <v>8</v>
      </c>
      <c r="AA31" s="13">
        <v>6</v>
      </c>
      <c r="AB31" s="13">
        <v>4</v>
      </c>
      <c r="AC31" s="7">
        <v>3</v>
      </c>
      <c r="AD31" s="7">
        <v>7</v>
      </c>
      <c r="AE31" s="7">
        <v>7</v>
      </c>
      <c r="AF31" s="8">
        <v>2</v>
      </c>
      <c r="AG31" s="7">
        <v>2</v>
      </c>
      <c r="AH31" s="9">
        <f t="shared" si="0"/>
        <v>91</v>
      </c>
      <c r="AI31" s="10">
        <f t="shared" si="1"/>
        <v>78</v>
      </c>
      <c r="AJ31" s="14">
        <f t="shared" si="2"/>
        <v>85.714285714285708</v>
      </c>
      <c r="AK31" s="15"/>
      <c r="AL31" s="15"/>
      <c r="AM31" s="15"/>
      <c r="AN31" s="15"/>
      <c r="AO31" s="15"/>
    </row>
    <row r="32" spans="1:41" ht="15.75" customHeight="1">
      <c r="A32" s="3">
        <v>28</v>
      </c>
      <c r="B32" s="4" t="s">
        <v>79</v>
      </c>
      <c r="C32" s="17" t="s">
        <v>80</v>
      </c>
      <c r="D32" s="6">
        <v>9</v>
      </c>
      <c r="E32" s="7">
        <v>8</v>
      </c>
      <c r="F32" s="8">
        <v>7</v>
      </c>
      <c r="G32" s="6">
        <v>7</v>
      </c>
      <c r="H32" s="9">
        <v>9</v>
      </c>
      <c r="I32" s="10">
        <v>8</v>
      </c>
      <c r="J32" s="6">
        <v>7</v>
      </c>
      <c r="K32" s="7">
        <v>7</v>
      </c>
      <c r="L32" s="11">
        <v>8</v>
      </c>
      <c r="M32" s="6">
        <v>7</v>
      </c>
      <c r="N32" s="12">
        <v>8</v>
      </c>
      <c r="O32" s="12">
        <v>7</v>
      </c>
      <c r="P32" s="6">
        <v>6</v>
      </c>
      <c r="Q32" s="6">
        <v>6</v>
      </c>
      <c r="R32" s="6">
        <v>6</v>
      </c>
      <c r="S32" s="6">
        <v>4</v>
      </c>
      <c r="T32" s="6">
        <v>4</v>
      </c>
      <c r="U32" s="7">
        <v>4</v>
      </c>
      <c r="V32" s="7">
        <v>3</v>
      </c>
      <c r="W32" s="7">
        <v>3</v>
      </c>
      <c r="X32" s="7">
        <v>3</v>
      </c>
      <c r="Y32" s="7">
        <v>3</v>
      </c>
      <c r="Z32" s="13">
        <v>8</v>
      </c>
      <c r="AA32" s="13">
        <v>8</v>
      </c>
      <c r="AB32" s="13">
        <v>4</v>
      </c>
      <c r="AC32" s="7">
        <v>4</v>
      </c>
      <c r="AD32" s="7">
        <v>7</v>
      </c>
      <c r="AE32" s="7">
        <v>7</v>
      </c>
      <c r="AF32" s="8">
        <v>2</v>
      </c>
      <c r="AG32" s="7">
        <v>2</v>
      </c>
      <c r="AH32" s="9">
        <f t="shared" si="0"/>
        <v>91</v>
      </c>
      <c r="AI32" s="10">
        <f t="shared" si="1"/>
        <v>85</v>
      </c>
      <c r="AJ32" s="14">
        <f t="shared" si="2"/>
        <v>93.406593406593402</v>
      </c>
      <c r="AK32" s="15"/>
      <c r="AL32" s="15"/>
      <c r="AM32" s="15"/>
      <c r="AN32" s="15"/>
      <c r="AO32" s="15"/>
    </row>
    <row r="33" spans="1:41" ht="15.75" customHeight="1">
      <c r="A33" s="3">
        <v>29</v>
      </c>
      <c r="B33" s="4" t="s">
        <v>81</v>
      </c>
      <c r="C33" s="17" t="s">
        <v>82</v>
      </c>
      <c r="D33" s="6">
        <v>9</v>
      </c>
      <c r="E33" s="7">
        <v>8</v>
      </c>
      <c r="F33" s="8">
        <v>7</v>
      </c>
      <c r="G33" s="6">
        <v>6</v>
      </c>
      <c r="H33" s="9">
        <v>9</v>
      </c>
      <c r="I33" s="10">
        <v>8</v>
      </c>
      <c r="J33" s="6">
        <v>7</v>
      </c>
      <c r="K33" s="7">
        <v>6</v>
      </c>
      <c r="L33" s="11">
        <v>8</v>
      </c>
      <c r="M33" s="6">
        <v>7</v>
      </c>
      <c r="N33" s="12">
        <v>8</v>
      </c>
      <c r="O33" s="12">
        <v>8</v>
      </c>
      <c r="P33" s="6">
        <v>6</v>
      </c>
      <c r="Q33" s="6">
        <v>6</v>
      </c>
      <c r="R33" s="6">
        <v>6</v>
      </c>
      <c r="S33" s="6">
        <v>6</v>
      </c>
      <c r="T33" s="6">
        <v>4</v>
      </c>
      <c r="U33" s="7">
        <v>4</v>
      </c>
      <c r="V33" s="7">
        <v>3</v>
      </c>
      <c r="W33" s="7">
        <v>3</v>
      </c>
      <c r="X33" s="7">
        <v>3</v>
      </c>
      <c r="Y33" s="7">
        <v>3</v>
      </c>
      <c r="Z33" s="13">
        <v>8</v>
      </c>
      <c r="AA33" s="13">
        <v>6</v>
      </c>
      <c r="AB33" s="13">
        <v>4</v>
      </c>
      <c r="AC33" s="7">
        <v>3</v>
      </c>
      <c r="AD33" s="7">
        <v>7</v>
      </c>
      <c r="AE33" s="7">
        <v>7</v>
      </c>
      <c r="AF33" s="8">
        <v>2</v>
      </c>
      <c r="AG33" s="7">
        <v>2</v>
      </c>
      <c r="AH33" s="9">
        <f t="shared" si="0"/>
        <v>91</v>
      </c>
      <c r="AI33" s="10">
        <f t="shared" si="1"/>
        <v>83</v>
      </c>
      <c r="AJ33" s="14">
        <f t="shared" si="2"/>
        <v>91.208791208791212</v>
      </c>
      <c r="AK33" s="15"/>
      <c r="AL33" s="15"/>
      <c r="AM33" s="15"/>
      <c r="AN33" s="15"/>
      <c r="AO33" s="15"/>
    </row>
    <row r="34" spans="1:41" ht="15.75" customHeight="1">
      <c r="A34" s="3">
        <v>30</v>
      </c>
      <c r="B34" s="4" t="s">
        <v>83</v>
      </c>
      <c r="C34" s="17" t="s">
        <v>84</v>
      </c>
      <c r="D34" s="6">
        <v>9</v>
      </c>
      <c r="E34" s="7">
        <v>7</v>
      </c>
      <c r="F34" s="8">
        <v>7</v>
      </c>
      <c r="G34" s="6">
        <v>5</v>
      </c>
      <c r="H34" s="9">
        <v>9</v>
      </c>
      <c r="I34" s="10">
        <v>6</v>
      </c>
      <c r="J34" s="6">
        <v>7</v>
      </c>
      <c r="K34" s="7">
        <v>6</v>
      </c>
      <c r="L34" s="11">
        <v>8</v>
      </c>
      <c r="M34" s="6">
        <v>5</v>
      </c>
      <c r="N34" s="12">
        <v>8</v>
      </c>
      <c r="O34" s="12">
        <v>7</v>
      </c>
      <c r="P34" s="6">
        <v>6</v>
      </c>
      <c r="Q34" s="6">
        <v>6</v>
      </c>
      <c r="R34" s="6">
        <v>6</v>
      </c>
      <c r="S34" s="6">
        <v>6</v>
      </c>
      <c r="T34" s="6">
        <v>4</v>
      </c>
      <c r="U34" s="7">
        <v>4</v>
      </c>
      <c r="V34" s="7">
        <v>3</v>
      </c>
      <c r="W34" s="7">
        <v>3</v>
      </c>
      <c r="X34" s="7">
        <v>3</v>
      </c>
      <c r="Y34" s="7">
        <v>3</v>
      </c>
      <c r="Z34" s="13">
        <v>8</v>
      </c>
      <c r="AA34" s="13">
        <v>8</v>
      </c>
      <c r="AB34" s="13">
        <v>4</v>
      </c>
      <c r="AC34" s="7">
        <v>4</v>
      </c>
      <c r="AD34" s="7">
        <v>7</v>
      </c>
      <c r="AE34" s="7">
        <v>7</v>
      </c>
      <c r="AF34" s="8">
        <v>2</v>
      </c>
      <c r="AG34" s="7">
        <v>1</v>
      </c>
      <c r="AH34" s="9">
        <f t="shared" si="0"/>
        <v>91</v>
      </c>
      <c r="AI34" s="10">
        <f t="shared" si="1"/>
        <v>78</v>
      </c>
      <c r="AJ34" s="14">
        <f t="shared" si="2"/>
        <v>85.714285714285708</v>
      </c>
      <c r="AK34" s="15"/>
      <c r="AL34" s="15"/>
      <c r="AM34" s="15"/>
      <c r="AN34" s="15"/>
      <c r="AO34" s="15"/>
    </row>
    <row r="35" spans="1:41" ht="15.75" customHeight="1">
      <c r="A35" s="3">
        <v>31</v>
      </c>
      <c r="B35" s="4" t="s">
        <v>85</v>
      </c>
      <c r="C35" s="17" t="s">
        <v>86</v>
      </c>
      <c r="D35" s="6">
        <v>9</v>
      </c>
      <c r="E35" s="7">
        <v>7</v>
      </c>
      <c r="F35" s="8">
        <v>7</v>
      </c>
      <c r="G35" s="6">
        <v>5</v>
      </c>
      <c r="H35" s="9">
        <v>9</v>
      </c>
      <c r="I35" s="10">
        <v>7</v>
      </c>
      <c r="J35" s="6">
        <v>7</v>
      </c>
      <c r="K35" s="7">
        <v>5</v>
      </c>
      <c r="L35" s="11">
        <v>8</v>
      </c>
      <c r="M35" s="6">
        <v>7</v>
      </c>
      <c r="N35" s="12">
        <v>8</v>
      </c>
      <c r="O35" s="12">
        <v>7</v>
      </c>
      <c r="P35" s="6">
        <v>6</v>
      </c>
      <c r="Q35" s="6">
        <v>6</v>
      </c>
      <c r="R35" s="6">
        <v>6</v>
      </c>
      <c r="S35" s="6">
        <v>6</v>
      </c>
      <c r="T35" s="6">
        <v>4</v>
      </c>
      <c r="U35" s="7">
        <v>2</v>
      </c>
      <c r="V35" s="7">
        <v>3</v>
      </c>
      <c r="W35" s="7">
        <v>3</v>
      </c>
      <c r="X35" s="7">
        <v>3</v>
      </c>
      <c r="Y35" s="7">
        <v>2</v>
      </c>
      <c r="Z35" s="13">
        <v>8</v>
      </c>
      <c r="AA35" s="13">
        <v>4</v>
      </c>
      <c r="AB35" s="13">
        <v>4</v>
      </c>
      <c r="AC35" s="7">
        <v>2</v>
      </c>
      <c r="AD35" s="7">
        <v>7</v>
      </c>
      <c r="AE35" s="7">
        <v>7</v>
      </c>
      <c r="AF35" s="8">
        <v>2</v>
      </c>
      <c r="AG35" s="7">
        <v>2</v>
      </c>
      <c r="AH35" s="9">
        <f t="shared" si="0"/>
        <v>91</v>
      </c>
      <c r="AI35" s="10">
        <f t="shared" si="1"/>
        <v>72</v>
      </c>
      <c r="AJ35" s="14">
        <f t="shared" si="2"/>
        <v>79.120879120879124</v>
      </c>
      <c r="AK35" s="15"/>
      <c r="AL35" s="15"/>
      <c r="AM35" s="15"/>
      <c r="AN35" s="15"/>
      <c r="AO35" s="15"/>
    </row>
    <row r="36" spans="1:41" ht="15.75" customHeight="1">
      <c r="A36" s="3">
        <v>32</v>
      </c>
      <c r="B36" s="4" t="s">
        <v>87</v>
      </c>
      <c r="C36" s="17" t="s">
        <v>88</v>
      </c>
      <c r="D36" s="6">
        <v>9</v>
      </c>
      <c r="E36" s="7">
        <v>8</v>
      </c>
      <c r="F36" s="8">
        <v>7</v>
      </c>
      <c r="G36" s="6">
        <v>5</v>
      </c>
      <c r="H36" s="9">
        <v>9</v>
      </c>
      <c r="I36" s="10">
        <v>7</v>
      </c>
      <c r="J36" s="6">
        <v>7</v>
      </c>
      <c r="K36" s="7">
        <v>6</v>
      </c>
      <c r="L36" s="11">
        <v>8</v>
      </c>
      <c r="M36" s="6">
        <v>6</v>
      </c>
      <c r="N36" s="12">
        <v>8</v>
      </c>
      <c r="O36" s="12">
        <v>7</v>
      </c>
      <c r="P36" s="6">
        <v>6</v>
      </c>
      <c r="Q36" s="6">
        <v>6</v>
      </c>
      <c r="R36" s="6">
        <v>6</v>
      </c>
      <c r="S36" s="6">
        <v>6</v>
      </c>
      <c r="T36" s="6">
        <v>4</v>
      </c>
      <c r="U36" s="7">
        <v>4</v>
      </c>
      <c r="V36" s="7">
        <v>3</v>
      </c>
      <c r="W36" s="7">
        <v>3</v>
      </c>
      <c r="X36" s="7">
        <v>3</v>
      </c>
      <c r="Y36" s="7">
        <v>3</v>
      </c>
      <c r="Z36" s="13">
        <v>8</v>
      </c>
      <c r="AA36" s="13">
        <v>8</v>
      </c>
      <c r="AB36" s="13">
        <v>4</v>
      </c>
      <c r="AC36" s="7">
        <v>4</v>
      </c>
      <c r="AD36" s="7">
        <v>7</v>
      </c>
      <c r="AE36" s="7">
        <v>7</v>
      </c>
      <c r="AF36" s="8">
        <v>2</v>
      </c>
      <c r="AG36" s="7">
        <v>2</v>
      </c>
      <c r="AH36" s="9">
        <f t="shared" si="0"/>
        <v>91</v>
      </c>
      <c r="AI36" s="10">
        <f t="shared" si="1"/>
        <v>82</v>
      </c>
      <c r="AJ36" s="14">
        <f t="shared" si="2"/>
        <v>90.109890109890117</v>
      </c>
      <c r="AK36" s="15"/>
      <c r="AL36" s="15"/>
      <c r="AM36" s="15"/>
      <c r="AN36" s="15"/>
      <c r="AO36" s="15"/>
    </row>
    <row r="37" spans="1:41" ht="15.75" customHeight="1">
      <c r="A37" s="3">
        <v>33</v>
      </c>
      <c r="B37" s="4" t="s">
        <v>89</v>
      </c>
      <c r="C37" s="17" t="s">
        <v>90</v>
      </c>
      <c r="D37" s="6">
        <v>9</v>
      </c>
      <c r="E37" s="7">
        <v>8</v>
      </c>
      <c r="F37" s="8">
        <v>7</v>
      </c>
      <c r="G37" s="6">
        <v>5</v>
      </c>
      <c r="H37" s="9">
        <v>9</v>
      </c>
      <c r="I37" s="10">
        <v>7</v>
      </c>
      <c r="J37" s="6">
        <v>7</v>
      </c>
      <c r="K37" s="7">
        <v>5</v>
      </c>
      <c r="L37" s="11">
        <v>8</v>
      </c>
      <c r="M37" s="6">
        <v>7</v>
      </c>
      <c r="N37" s="12">
        <v>8</v>
      </c>
      <c r="O37" s="12">
        <v>7</v>
      </c>
      <c r="P37" s="6">
        <v>6</v>
      </c>
      <c r="Q37" s="6">
        <v>6</v>
      </c>
      <c r="R37" s="6">
        <v>6</v>
      </c>
      <c r="S37" s="6">
        <v>6</v>
      </c>
      <c r="T37" s="6">
        <v>4</v>
      </c>
      <c r="U37" s="7">
        <v>2</v>
      </c>
      <c r="V37" s="7">
        <v>3</v>
      </c>
      <c r="W37" s="7">
        <v>3</v>
      </c>
      <c r="X37" s="7">
        <v>3</v>
      </c>
      <c r="Y37" s="7">
        <v>2</v>
      </c>
      <c r="Z37" s="13">
        <v>8</v>
      </c>
      <c r="AA37" s="13">
        <v>4</v>
      </c>
      <c r="AB37" s="13">
        <v>4</v>
      </c>
      <c r="AC37" s="7">
        <v>2</v>
      </c>
      <c r="AD37" s="7">
        <v>7</v>
      </c>
      <c r="AE37" s="7">
        <v>7</v>
      </c>
      <c r="AF37" s="8">
        <v>2</v>
      </c>
      <c r="AG37" s="7">
        <v>2</v>
      </c>
      <c r="AH37" s="9">
        <f t="shared" si="0"/>
        <v>91</v>
      </c>
      <c r="AI37" s="10">
        <f t="shared" si="1"/>
        <v>73</v>
      </c>
      <c r="AJ37" s="14">
        <f t="shared" si="2"/>
        <v>80.219780219780219</v>
      </c>
      <c r="AK37" s="15"/>
      <c r="AL37" s="15"/>
      <c r="AM37" s="15"/>
      <c r="AN37" s="15"/>
      <c r="AO37" s="15"/>
    </row>
    <row r="38" spans="1:41" ht="15.75" customHeight="1">
      <c r="A38" s="3">
        <v>34</v>
      </c>
      <c r="B38" s="4" t="s">
        <v>91</v>
      </c>
      <c r="C38" s="17" t="s">
        <v>92</v>
      </c>
      <c r="D38" s="6">
        <v>9</v>
      </c>
      <c r="E38" s="7">
        <v>8</v>
      </c>
      <c r="F38" s="8">
        <v>7</v>
      </c>
      <c r="G38" s="6">
        <v>7</v>
      </c>
      <c r="H38" s="9">
        <v>9</v>
      </c>
      <c r="I38" s="10">
        <v>8</v>
      </c>
      <c r="J38" s="6">
        <v>7</v>
      </c>
      <c r="K38" s="7">
        <v>7</v>
      </c>
      <c r="L38" s="11">
        <v>8</v>
      </c>
      <c r="M38" s="6">
        <v>7</v>
      </c>
      <c r="N38" s="12">
        <v>8</v>
      </c>
      <c r="O38" s="12">
        <v>7</v>
      </c>
      <c r="P38" s="6">
        <v>6</v>
      </c>
      <c r="Q38" s="6">
        <v>6</v>
      </c>
      <c r="R38" s="6">
        <v>6</v>
      </c>
      <c r="S38" s="6">
        <v>6</v>
      </c>
      <c r="T38" s="6">
        <v>4</v>
      </c>
      <c r="U38" s="7">
        <v>4</v>
      </c>
      <c r="V38" s="7">
        <v>3</v>
      </c>
      <c r="W38" s="7">
        <v>3</v>
      </c>
      <c r="X38" s="7">
        <v>3</v>
      </c>
      <c r="Y38" s="7">
        <v>3</v>
      </c>
      <c r="Z38" s="13">
        <v>8</v>
      </c>
      <c r="AA38" s="13">
        <v>8</v>
      </c>
      <c r="AB38" s="13">
        <v>4</v>
      </c>
      <c r="AC38" s="7">
        <v>4</v>
      </c>
      <c r="AD38" s="7">
        <v>7</v>
      </c>
      <c r="AE38" s="7">
        <v>7</v>
      </c>
      <c r="AF38" s="8">
        <v>2</v>
      </c>
      <c r="AG38" s="7">
        <v>2</v>
      </c>
      <c r="AH38" s="9">
        <f t="shared" si="0"/>
        <v>91</v>
      </c>
      <c r="AI38" s="10">
        <f t="shared" si="1"/>
        <v>87</v>
      </c>
      <c r="AJ38" s="14">
        <f t="shared" si="2"/>
        <v>95.604395604395606</v>
      </c>
      <c r="AK38" s="15"/>
      <c r="AL38" s="15"/>
      <c r="AM38" s="15"/>
      <c r="AN38" s="15"/>
      <c r="AO38" s="15"/>
    </row>
    <row r="39" spans="1:41" ht="15.75" customHeight="1">
      <c r="A39" s="3">
        <v>35</v>
      </c>
      <c r="B39" s="4" t="s">
        <v>93</v>
      </c>
      <c r="C39" s="17" t="s">
        <v>94</v>
      </c>
      <c r="D39" s="6">
        <v>9</v>
      </c>
      <c r="E39" s="7">
        <v>7</v>
      </c>
      <c r="F39" s="8">
        <v>7</v>
      </c>
      <c r="G39" s="6">
        <v>6</v>
      </c>
      <c r="H39" s="9">
        <v>9</v>
      </c>
      <c r="I39" s="10">
        <v>8</v>
      </c>
      <c r="J39" s="6">
        <v>7</v>
      </c>
      <c r="K39" s="7">
        <v>5</v>
      </c>
      <c r="L39" s="11">
        <v>8</v>
      </c>
      <c r="M39" s="6">
        <v>6</v>
      </c>
      <c r="N39" s="12">
        <v>8</v>
      </c>
      <c r="O39" s="12">
        <v>6</v>
      </c>
      <c r="P39" s="6">
        <v>6</v>
      </c>
      <c r="Q39" s="6">
        <v>3</v>
      </c>
      <c r="R39" s="6">
        <v>6</v>
      </c>
      <c r="S39" s="6">
        <v>4</v>
      </c>
      <c r="T39" s="6">
        <v>4</v>
      </c>
      <c r="U39" s="7">
        <v>2</v>
      </c>
      <c r="V39" s="7">
        <v>3</v>
      </c>
      <c r="W39" s="7">
        <v>2</v>
      </c>
      <c r="X39" s="7">
        <v>3</v>
      </c>
      <c r="Y39" s="7">
        <v>3</v>
      </c>
      <c r="Z39" s="13">
        <v>8</v>
      </c>
      <c r="AA39" s="13">
        <v>6</v>
      </c>
      <c r="AB39" s="13">
        <v>4</v>
      </c>
      <c r="AC39" s="7">
        <v>3</v>
      </c>
      <c r="AD39" s="7">
        <v>7</v>
      </c>
      <c r="AE39" s="7">
        <v>7</v>
      </c>
      <c r="AF39" s="8">
        <v>2</v>
      </c>
      <c r="AG39" s="7">
        <v>2</v>
      </c>
      <c r="AH39" s="9">
        <f t="shared" si="0"/>
        <v>91</v>
      </c>
      <c r="AI39" s="10">
        <f t="shared" si="1"/>
        <v>70</v>
      </c>
      <c r="AJ39" s="14">
        <f t="shared" si="2"/>
        <v>76.923076923076934</v>
      </c>
      <c r="AK39" s="15"/>
      <c r="AL39" s="15"/>
      <c r="AM39" s="15"/>
      <c r="AN39" s="15"/>
      <c r="AO39" s="15"/>
    </row>
    <row r="40" spans="1:41" ht="15.75" customHeight="1">
      <c r="A40" s="3">
        <v>36</v>
      </c>
      <c r="B40" s="4" t="s">
        <v>95</v>
      </c>
      <c r="C40" s="17" t="s">
        <v>96</v>
      </c>
      <c r="D40" s="6">
        <v>9</v>
      </c>
      <c r="E40" s="7">
        <v>6</v>
      </c>
      <c r="F40" s="8">
        <v>7</v>
      </c>
      <c r="G40" s="6">
        <v>6</v>
      </c>
      <c r="H40" s="9">
        <v>9</v>
      </c>
      <c r="I40" s="10">
        <v>4</v>
      </c>
      <c r="J40" s="6">
        <v>7</v>
      </c>
      <c r="K40" s="7">
        <v>6</v>
      </c>
      <c r="L40" s="11">
        <v>8</v>
      </c>
      <c r="M40" s="6">
        <v>5</v>
      </c>
      <c r="N40" s="12">
        <v>8</v>
      </c>
      <c r="O40" s="12">
        <v>5</v>
      </c>
      <c r="P40" s="6">
        <v>6</v>
      </c>
      <c r="Q40" s="6">
        <v>3</v>
      </c>
      <c r="R40" s="6">
        <v>6</v>
      </c>
      <c r="S40" s="6">
        <v>6</v>
      </c>
      <c r="T40" s="6">
        <v>4</v>
      </c>
      <c r="U40" s="7">
        <v>2</v>
      </c>
      <c r="V40" s="7">
        <v>3</v>
      </c>
      <c r="W40" s="7">
        <v>3</v>
      </c>
      <c r="X40" s="7">
        <v>3</v>
      </c>
      <c r="Y40" s="7">
        <v>3</v>
      </c>
      <c r="Z40" s="13">
        <v>8</v>
      </c>
      <c r="AA40" s="13">
        <v>6</v>
      </c>
      <c r="AB40" s="13">
        <v>4</v>
      </c>
      <c r="AC40" s="7">
        <v>3</v>
      </c>
      <c r="AD40" s="7">
        <v>7</v>
      </c>
      <c r="AE40" s="7">
        <v>5</v>
      </c>
      <c r="AF40" s="8">
        <v>2</v>
      </c>
      <c r="AG40" s="7">
        <v>2</v>
      </c>
      <c r="AH40" s="9">
        <f t="shared" si="0"/>
        <v>91</v>
      </c>
      <c r="AI40" s="10">
        <f t="shared" si="1"/>
        <v>65</v>
      </c>
      <c r="AJ40" s="14">
        <f t="shared" si="2"/>
        <v>71.428571428571431</v>
      </c>
      <c r="AK40" s="15"/>
      <c r="AL40" s="15"/>
      <c r="AM40" s="15"/>
      <c r="AN40" s="15"/>
      <c r="AO40" s="15"/>
    </row>
    <row r="41" spans="1:41" ht="15.75" customHeight="1">
      <c r="A41" s="3">
        <v>37</v>
      </c>
      <c r="B41" s="4" t="s">
        <v>97</v>
      </c>
      <c r="C41" s="17" t="s">
        <v>98</v>
      </c>
      <c r="D41" s="6">
        <v>9</v>
      </c>
      <c r="E41" s="7">
        <v>5</v>
      </c>
      <c r="F41" s="8">
        <v>7</v>
      </c>
      <c r="G41" s="6">
        <v>3</v>
      </c>
      <c r="H41" s="9">
        <v>9</v>
      </c>
      <c r="I41" s="10">
        <v>5</v>
      </c>
      <c r="J41" s="6">
        <v>7</v>
      </c>
      <c r="K41" s="7">
        <v>4</v>
      </c>
      <c r="L41" s="11">
        <v>8</v>
      </c>
      <c r="M41" s="6">
        <v>4</v>
      </c>
      <c r="N41" s="12">
        <v>8</v>
      </c>
      <c r="O41" s="12">
        <v>5</v>
      </c>
      <c r="P41" s="6">
        <v>6</v>
      </c>
      <c r="Q41" s="6">
        <v>3</v>
      </c>
      <c r="R41" s="6">
        <v>6</v>
      </c>
      <c r="S41" s="6">
        <v>4</v>
      </c>
      <c r="T41" s="6">
        <v>4</v>
      </c>
      <c r="U41" s="7">
        <v>4</v>
      </c>
      <c r="V41" s="7">
        <v>3</v>
      </c>
      <c r="W41" s="7">
        <v>2</v>
      </c>
      <c r="X41" s="7">
        <v>3</v>
      </c>
      <c r="Y41" s="7">
        <v>3</v>
      </c>
      <c r="Z41" s="13">
        <v>8</v>
      </c>
      <c r="AA41" s="13">
        <v>4</v>
      </c>
      <c r="AB41" s="13">
        <v>4</v>
      </c>
      <c r="AC41" s="7">
        <v>2</v>
      </c>
      <c r="AD41" s="7">
        <v>7</v>
      </c>
      <c r="AE41" s="7">
        <v>5</v>
      </c>
      <c r="AF41" s="8">
        <v>2</v>
      </c>
      <c r="AG41" s="7">
        <v>0</v>
      </c>
      <c r="AH41" s="9">
        <f t="shared" si="0"/>
        <v>91</v>
      </c>
      <c r="AI41" s="10">
        <f t="shared" si="1"/>
        <v>53</v>
      </c>
      <c r="AJ41" s="14">
        <f t="shared" si="2"/>
        <v>58.241758241758248</v>
      </c>
      <c r="AK41" s="15"/>
      <c r="AL41" s="15"/>
      <c r="AM41" s="15"/>
      <c r="AN41" s="15"/>
      <c r="AO41" s="15"/>
    </row>
    <row r="42" spans="1:41" ht="15.75" customHeight="1">
      <c r="A42" s="3">
        <v>38</v>
      </c>
      <c r="B42" s="4" t="s">
        <v>99</v>
      </c>
      <c r="C42" s="17" t="s">
        <v>100</v>
      </c>
      <c r="D42" s="6">
        <v>9</v>
      </c>
      <c r="E42" s="7">
        <v>8</v>
      </c>
      <c r="F42" s="8">
        <v>7</v>
      </c>
      <c r="G42" s="6">
        <v>7</v>
      </c>
      <c r="H42" s="9">
        <v>9</v>
      </c>
      <c r="I42" s="10">
        <v>8</v>
      </c>
      <c r="J42" s="6">
        <v>7</v>
      </c>
      <c r="K42" s="7">
        <v>7</v>
      </c>
      <c r="L42" s="11">
        <v>8</v>
      </c>
      <c r="M42" s="6">
        <v>7</v>
      </c>
      <c r="N42" s="12">
        <v>8</v>
      </c>
      <c r="O42" s="12">
        <v>8</v>
      </c>
      <c r="P42" s="6">
        <v>6</v>
      </c>
      <c r="Q42" s="6">
        <v>6</v>
      </c>
      <c r="R42" s="6">
        <v>6</v>
      </c>
      <c r="S42" s="6">
        <v>6</v>
      </c>
      <c r="T42" s="6">
        <v>4</v>
      </c>
      <c r="U42" s="7">
        <v>4</v>
      </c>
      <c r="V42" s="7">
        <v>3</v>
      </c>
      <c r="W42" s="7">
        <v>3</v>
      </c>
      <c r="X42" s="7">
        <v>3</v>
      </c>
      <c r="Y42" s="7">
        <v>3</v>
      </c>
      <c r="Z42" s="13">
        <v>8</v>
      </c>
      <c r="AA42" s="13">
        <v>8</v>
      </c>
      <c r="AB42" s="13">
        <v>4</v>
      </c>
      <c r="AC42" s="7">
        <v>4</v>
      </c>
      <c r="AD42" s="7">
        <v>7</v>
      </c>
      <c r="AE42" s="7">
        <v>5</v>
      </c>
      <c r="AF42" s="8">
        <v>2</v>
      </c>
      <c r="AG42" s="7">
        <v>2</v>
      </c>
      <c r="AH42" s="9">
        <f t="shared" si="0"/>
        <v>91</v>
      </c>
      <c r="AI42" s="10">
        <f t="shared" si="1"/>
        <v>86</v>
      </c>
      <c r="AJ42" s="14">
        <f t="shared" si="2"/>
        <v>94.505494505494497</v>
      </c>
      <c r="AK42" s="15"/>
      <c r="AL42" s="15"/>
      <c r="AM42" s="15"/>
      <c r="AN42" s="15"/>
      <c r="AO42" s="15"/>
    </row>
    <row r="43" spans="1:41" ht="15.75" customHeight="1">
      <c r="A43" s="3">
        <v>39</v>
      </c>
      <c r="B43" s="4" t="s">
        <v>101</v>
      </c>
      <c r="C43" s="17" t="s">
        <v>102</v>
      </c>
      <c r="D43" s="6">
        <v>9</v>
      </c>
      <c r="E43" s="7">
        <v>9</v>
      </c>
      <c r="F43" s="8">
        <v>7</v>
      </c>
      <c r="G43" s="6">
        <v>6</v>
      </c>
      <c r="H43" s="9">
        <v>9</v>
      </c>
      <c r="I43" s="10">
        <v>9</v>
      </c>
      <c r="J43" s="6">
        <v>7</v>
      </c>
      <c r="K43" s="7">
        <v>6</v>
      </c>
      <c r="L43" s="11">
        <v>8</v>
      </c>
      <c r="M43" s="6">
        <v>8</v>
      </c>
      <c r="N43" s="12">
        <v>8</v>
      </c>
      <c r="O43" s="12">
        <v>8</v>
      </c>
      <c r="P43" s="6">
        <v>6</v>
      </c>
      <c r="Q43" s="6">
        <v>6</v>
      </c>
      <c r="R43" s="6">
        <v>6</v>
      </c>
      <c r="S43" s="6">
        <v>6</v>
      </c>
      <c r="T43" s="6">
        <v>4</v>
      </c>
      <c r="U43" s="7">
        <v>4</v>
      </c>
      <c r="V43" s="7">
        <v>3</v>
      </c>
      <c r="W43" s="7">
        <v>3</v>
      </c>
      <c r="X43" s="7">
        <v>3</v>
      </c>
      <c r="Y43" s="7">
        <v>3</v>
      </c>
      <c r="Z43" s="13">
        <v>8</v>
      </c>
      <c r="AA43" s="13">
        <v>6</v>
      </c>
      <c r="AB43" s="13">
        <v>4</v>
      </c>
      <c r="AC43" s="7">
        <v>3</v>
      </c>
      <c r="AD43" s="7">
        <v>7</v>
      </c>
      <c r="AE43" s="7">
        <v>5</v>
      </c>
      <c r="AF43" s="8">
        <v>2</v>
      </c>
      <c r="AG43" s="7">
        <v>2</v>
      </c>
      <c r="AH43" s="9">
        <f t="shared" si="0"/>
        <v>91</v>
      </c>
      <c r="AI43" s="10">
        <f t="shared" si="1"/>
        <v>84</v>
      </c>
      <c r="AJ43" s="14">
        <f t="shared" si="2"/>
        <v>92.307692307692307</v>
      </c>
      <c r="AK43" s="15"/>
      <c r="AL43" s="15"/>
      <c r="AM43" s="15"/>
      <c r="AN43" s="15"/>
      <c r="AO43" s="15"/>
    </row>
    <row r="44" spans="1:41" ht="15.75" customHeight="1">
      <c r="A44" s="3">
        <v>40</v>
      </c>
      <c r="B44" s="4" t="s">
        <v>103</v>
      </c>
      <c r="C44" s="17" t="s">
        <v>104</v>
      </c>
      <c r="D44" s="6">
        <v>9</v>
      </c>
      <c r="E44" s="7">
        <v>7</v>
      </c>
      <c r="F44" s="8">
        <v>7</v>
      </c>
      <c r="G44" s="6">
        <v>4</v>
      </c>
      <c r="H44" s="9">
        <v>9</v>
      </c>
      <c r="I44" s="10">
        <v>8</v>
      </c>
      <c r="J44" s="6">
        <v>7</v>
      </c>
      <c r="K44" s="7">
        <v>5</v>
      </c>
      <c r="L44" s="11">
        <v>8</v>
      </c>
      <c r="M44" s="6">
        <v>5</v>
      </c>
      <c r="N44" s="12">
        <v>8</v>
      </c>
      <c r="O44" s="12">
        <v>7</v>
      </c>
      <c r="P44" s="6">
        <v>6</v>
      </c>
      <c r="Q44" s="6">
        <v>3</v>
      </c>
      <c r="R44" s="6">
        <v>6</v>
      </c>
      <c r="S44" s="6">
        <v>4</v>
      </c>
      <c r="T44" s="6">
        <v>4</v>
      </c>
      <c r="U44" s="7">
        <v>2</v>
      </c>
      <c r="V44" s="7">
        <v>3</v>
      </c>
      <c r="W44" s="7">
        <v>2</v>
      </c>
      <c r="X44" s="7">
        <v>3</v>
      </c>
      <c r="Y44" s="7">
        <v>3</v>
      </c>
      <c r="Z44" s="13">
        <v>8</v>
      </c>
      <c r="AA44" s="13">
        <v>6</v>
      </c>
      <c r="AB44" s="13">
        <v>4</v>
      </c>
      <c r="AC44" s="7">
        <v>3</v>
      </c>
      <c r="AD44" s="7">
        <v>7</v>
      </c>
      <c r="AE44" s="7">
        <v>4</v>
      </c>
      <c r="AF44" s="8">
        <v>2</v>
      </c>
      <c r="AG44" s="7">
        <v>2</v>
      </c>
      <c r="AH44" s="9">
        <f t="shared" si="0"/>
        <v>91</v>
      </c>
      <c r="AI44" s="10">
        <f t="shared" si="1"/>
        <v>65</v>
      </c>
      <c r="AJ44" s="14">
        <f t="shared" si="2"/>
        <v>71.428571428571431</v>
      </c>
      <c r="AK44" s="15"/>
      <c r="AL44" s="15"/>
      <c r="AM44" s="15"/>
      <c r="AN44" s="15"/>
      <c r="AO44" s="15"/>
    </row>
    <row r="45" spans="1:41" ht="15.75" customHeight="1">
      <c r="A45" s="3">
        <v>41</v>
      </c>
      <c r="B45" s="4" t="s">
        <v>105</v>
      </c>
      <c r="C45" s="17" t="s">
        <v>106</v>
      </c>
      <c r="D45" s="6">
        <v>9</v>
      </c>
      <c r="E45" s="7">
        <v>8</v>
      </c>
      <c r="F45" s="8">
        <v>7</v>
      </c>
      <c r="G45" s="6">
        <v>5</v>
      </c>
      <c r="H45" s="9">
        <v>9</v>
      </c>
      <c r="I45" s="10">
        <v>8</v>
      </c>
      <c r="J45" s="6">
        <v>7</v>
      </c>
      <c r="K45" s="7">
        <v>5</v>
      </c>
      <c r="L45" s="11">
        <v>8</v>
      </c>
      <c r="M45" s="6">
        <v>8</v>
      </c>
      <c r="N45" s="12">
        <v>8</v>
      </c>
      <c r="O45" s="12">
        <v>8</v>
      </c>
      <c r="P45" s="6">
        <v>6</v>
      </c>
      <c r="Q45" s="6">
        <v>6</v>
      </c>
      <c r="R45" s="6">
        <v>6</v>
      </c>
      <c r="S45" s="6">
        <v>6</v>
      </c>
      <c r="T45" s="6">
        <v>4</v>
      </c>
      <c r="U45" s="7">
        <v>4</v>
      </c>
      <c r="V45" s="7">
        <v>3</v>
      </c>
      <c r="W45" s="7">
        <v>3</v>
      </c>
      <c r="X45" s="7">
        <v>3</v>
      </c>
      <c r="Y45" s="7">
        <v>2</v>
      </c>
      <c r="Z45" s="13">
        <v>8</v>
      </c>
      <c r="AA45" s="13">
        <v>4</v>
      </c>
      <c r="AB45" s="13">
        <v>4</v>
      </c>
      <c r="AC45" s="7">
        <v>2</v>
      </c>
      <c r="AD45" s="7">
        <v>7</v>
      </c>
      <c r="AE45" s="7">
        <v>5</v>
      </c>
      <c r="AF45" s="8">
        <v>2</v>
      </c>
      <c r="AG45" s="7">
        <v>2</v>
      </c>
      <c r="AH45" s="9">
        <f t="shared" si="0"/>
        <v>91</v>
      </c>
      <c r="AI45" s="10">
        <f t="shared" si="1"/>
        <v>76</v>
      </c>
      <c r="AJ45" s="14">
        <f t="shared" si="2"/>
        <v>83.516483516483518</v>
      </c>
      <c r="AK45" s="15"/>
      <c r="AL45" s="15"/>
      <c r="AM45" s="15"/>
      <c r="AN45" s="15"/>
      <c r="AO45" s="15"/>
    </row>
    <row r="46" spans="1:41" ht="15.75" customHeight="1">
      <c r="A46" s="3">
        <v>42</v>
      </c>
      <c r="B46" s="4" t="s">
        <v>107</v>
      </c>
      <c r="C46" s="17" t="s">
        <v>108</v>
      </c>
      <c r="D46" s="6">
        <v>9</v>
      </c>
      <c r="E46" s="7">
        <v>8</v>
      </c>
      <c r="F46" s="8">
        <v>7</v>
      </c>
      <c r="G46" s="6">
        <v>7</v>
      </c>
      <c r="H46" s="9">
        <v>9</v>
      </c>
      <c r="I46" s="10">
        <v>9</v>
      </c>
      <c r="J46" s="6">
        <v>7</v>
      </c>
      <c r="K46" s="7">
        <v>7</v>
      </c>
      <c r="L46" s="11">
        <v>8</v>
      </c>
      <c r="M46" s="6">
        <v>8</v>
      </c>
      <c r="N46" s="12">
        <v>8</v>
      </c>
      <c r="O46" s="12">
        <v>7</v>
      </c>
      <c r="P46" s="6">
        <v>6</v>
      </c>
      <c r="Q46" s="6">
        <v>3</v>
      </c>
      <c r="R46" s="6">
        <v>6</v>
      </c>
      <c r="S46" s="6">
        <v>4</v>
      </c>
      <c r="T46" s="6">
        <v>4</v>
      </c>
      <c r="U46" s="7">
        <v>2</v>
      </c>
      <c r="V46" s="7">
        <v>3</v>
      </c>
      <c r="W46" s="7">
        <v>2</v>
      </c>
      <c r="X46" s="7">
        <v>3</v>
      </c>
      <c r="Y46" s="7">
        <v>3</v>
      </c>
      <c r="Z46" s="13">
        <v>8</v>
      </c>
      <c r="AA46" s="13">
        <v>8</v>
      </c>
      <c r="AB46" s="13">
        <v>4</v>
      </c>
      <c r="AC46" s="7">
        <v>4</v>
      </c>
      <c r="AD46" s="7">
        <v>7</v>
      </c>
      <c r="AE46" s="7">
        <v>5</v>
      </c>
      <c r="AF46" s="8">
        <v>2</v>
      </c>
      <c r="AG46" s="7">
        <v>2</v>
      </c>
      <c r="AH46" s="9">
        <f t="shared" si="0"/>
        <v>91</v>
      </c>
      <c r="AI46" s="10">
        <f t="shared" si="1"/>
        <v>79</v>
      </c>
      <c r="AJ46" s="14">
        <f t="shared" si="2"/>
        <v>86.813186813186817</v>
      </c>
      <c r="AK46" s="15"/>
      <c r="AL46" s="15"/>
      <c r="AM46" s="15"/>
      <c r="AN46" s="15"/>
      <c r="AO46" s="15"/>
    </row>
    <row r="47" spans="1:41" ht="15.75" customHeight="1">
      <c r="A47" s="3">
        <v>43</v>
      </c>
      <c r="B47" s="4" t="s">
        <v>109</v>
      </c>
      <c r="C47" s="17" t="s">
        <v>110</v>
      </c>
      <c r="D47" s="6">
        <v>9</v>
      </c>
      <c r="E47" s="7">
        <v>7</v>
      </c>
      <c r="F47" s="8">
        <v>7</v>
      </c>
      <c r="G47" s="6">
        <v>5</v>
      </c>
      <c r="H47" s="9">
        <v>9</v>
      </c>
      <c r="I47" s="10">
        <v>7</v>
      </c>
      <c r="J47" s="6">
        <v>7</v>
      </c>
      <c r="K47" s="7">
        <v>5</v>
      </c>
      <c r="L47" s="11">
        <v>8</v>
      </c>
      <c r="M47" s="6">
        <v>7</v>
      </c>
      <c r="N47" s="12">
        <v>8</v>
      </c>
      <c r="O47" s="12">
        <v>7</v>
      </c>
      <c r="P47" s="6">
        <v>6</v>
      </c>
      <c r="Q47" s="6">
        <v>6</v>
      </c>
      <c r="R47" s="6">
        <v>6</v>
      </c>
      <c r="S47" s="6">
        <v>6</v>
      </c>
      <c r="T47" s="6">
        <v>4</v>
      </c>
      <c r="U47" s="7">
        <v>2</v>
      </c>
      <c r="V47" s="7">
        <v>3</v>
      </c>
      <c r="W47" s="7">
        <v>3</v>
      </c>
      <c r="X47" s="7">
        <v>3</v>
      </c>
      <c r="Y47" s="7">
        <v>2</v>
      </c>
      <c r="Z47" s="13">
        <v>8</v>
      </c>
      <c r="AA47" s="13">
        <v>6</v>
      </c>
      <c r="AB47" s="13">
        <v>4</v>
      </c>
      <c r="AC47" s="7">
        <v>3</v>
      </c>
      <c r="AD47" s="7">
        <v>7</v>
      </c>
      <c r="AE47" s="7">
        <v>5</v>
      </c>
      <c r="AF47" s="8">
        <v>2</v>
      </c>
      <c r="AG47" s="7">
        <v>2</v>
      </c>
      <c r="AH47" s="9">
        <f t="shared" si="0"/>
        <v>91</v>
      </c>
      <c r="AI47" s="10">
        <f t="shared" si="1"/>
        <v>73</v>
      </c>
      <c r="AJ47" s="14">
        <f t="shared" si="2"/>
        <v>80.219780219780219</v>
      </c>
      <c r="AK47" s="15"/>
      <c r="AL47" s="15"/>
      <c r="AM47" s="15"/>
      <c r="AN47" s="15"/>
      <c r="AO47" s="15"/>
    </row>
    <row r="48" spans="1:41" ht="15.75" customHeight="1">
      <c r="A48" s="3">
        <v>44</v>
      </c>
      <c r="B48" s="4" t="s">
        <v>111</v>
      </c>
      <c r="C48" s="17" t="s">
        <v>112</v>
      </c>
      <c r="D48" s="6">
        <v>9</v>
      </c>
      <c r="E48" s="7">
        <v>8</v>
      </c>
      <c r="F48" s="8">
        <v>7</v>
      </c>
      <c r="G48" s="6">
        <v>7</v>
      </c>
      <c r="H48" s="9">
        <v>9</v>
      </c>
      <c r="I48" s="18">
        <v>8</v>
      </c>
      <c r="J48" s="6">
        <v>7</v>
      </c>
      <c r="K48" s="7">
        <v>7</v>
      </c>
      <c r="L48" s="11">
        <v>8</v>
      </c>
      <c r="M48" s="6">
        <v>7</v>
      </c>
      <c r="N48" s="12">
        <v>8</v>
      </c>
      <c r="O48" s="12">
        <v>7</v>
      </c>
      <c r="P48" s="6">
        <v>6</v>
      </c>
      <c r="Q48" s="6">
        <v>6</v>
      </c>
      <c r="R48" s="6">
        <v>6</v>
      </c>
      <c r="S48" s="6">
        <v>6</v>
      </c>
      <c r="T48" s="6">
        <v>4</v>
      </c>
      <c r="U48" s="19">
        <v>4</v>
      </c>
      <c r="V48" s="7">
        <v>3</v>
      </c>
      <c r="W48" s="7">
        <v>3</v>
      </c>
      <c r="X48" s="7">
        <v>3</v>
      </c>
      <c r="Y48" s="7">
        <v>3</v>
      </c>
      <c r="Z48" s="13">
        <v>8</v>
      </c>
      <c r="AA48" s="13">
        <v>8</v>
      </c>
      <c r="AB48" s="13">
        <v>4</v>
      </c>
      <c r="AC48" s="7">
        <v>4</v>
      </c>
      <c r="AD48" s="7">
        <v>7</v>
      </c>
      <c r="AE48" s="7">
        <v>5</v>
      </c>
      <c r="AF48" s="8">
        <v>2</v>
      </c>
      <c r="AG48" s="7">
        <v>2</v>
      </c>
      <c r="AH48" s="9">
        <f t="shared" si="0"/>
        <v>91</v>
      </c>
      <c r="AI48" s="10">
        <f t="shared" si="1"/>
        <v>85</v>
      </c>
      <c r="AJ48" s="14">
        <f t="shared" si="2"/>
        <v>93.406593406593402</v>
      </c>
      <c r="AK48" s="15"/>
      <c r="AL48" s="15"/>
      <c r="AM48" s="15"/>
      <c r="AN48" s="15"/>
      <c r="AO48" s="15"/>
    </row>
    <row r="49" spans="1:41" ht="15.75" customHeight="1">
      <c r="A49" s="1"/>
      <c r="B49" s="1"/>
      <c r="C49" s="1"/>
      <c r="D49" s="29" t="s">
        <v>113</v>
      </c>
      <c r="E49" s="30"/>
      <c r="F49" s="29" t="s">
        <v>114</v>
      </c>
      <c r="G49" s="30"/>
      <c r="H49" s="46" t="s">
        <v>115</v>
      </c>
      <c r="I49" s="30"/>
      <c r="J49" s="29" t="s">
        <v>116</v>
      </c>
      <c r="K49" s="30"/>
      <c r="L49" s="29" t="s">
        <v>117</v>
      </c>
      <c r="M49" s="30"/>
      <c r="N49" s="20" t="s">
        <v>118</v>
      </c>
      <c r="O49" s="21"/>
      <c r="P49" s="29" t="s">
        <v>117</v>
      </c>
      <c r="Q49" s="30"/>
      <c r="R49" s="29" t="s">
        <v>119</v>
      </c>
      <c r="S49" s="30"/>
      <c r="T49" s="29" t="s">
        <v>116</v>
      </c>
      <c r="U49" s="30"/>
      <c r="V49" s="29" t="s">
        <v>119</v>
      </c>
      <c r="W49" s="30"/>
      <c r="X49" s="29" t="s">
        <v>120</v>
      </c>
      <c r="Y49" s="30"/>
      <c r="Z49" s="29" t="s">
        <v>121</v>
      </c>
      <c r="AA49" s="30"/>
      <c r="AB49" s="29" t="s">
        <v>122</v>
      </c>
      <c r="AC49" s="30"/>
      <c r="AD49" s="29"/>
      <c r="AE49" s="42"/>
      <c r="AF49" s="30"/>
      <c r="AG49" s="1" t="s">
        <v>123</v>
      </c>
      <c r="AH49" s="1"/>
      <c r="AI49" s="1"/>
      <c r="AJ49" s="1"/>
      <c r="AK49" s="1"/>
      <c r="AL49" s="1"/>
      <c r="AM49" s="1"/>
      <c r="AN49" s="1"/>
      <c r="AO49" s="1"/>
    </row>
    <row r="50" spans="1:41" ht="15.75" customHeight="1">
      <c r="A50" s="1"/>
      <c r="B50" s="1"/>
      <c r="C50" s="1"/>
      <c r="D50" s="31"/>
      <c r="E50" s="30"/>
      <c r="F50" s="31"/>
      <c r="G50" s="30"/>
      <c r="H50" s="31"/>
      <c r="I50" s="30"/>
      <c r="J50" s="31"/>
      <c r="K50" s="30"/>
      <c r="L50" s="31"/>
      <c r="M50" s="30"/>
      <c r="N50" s="31"/>
      <c r="O50" s="30"/>
      <c r="P50" s="31"/>
      <c r="Q50" s="30"/>
      <c r="R50" s="31"/>
      <c r="S50" s="30"/>
      <c r="T50" s="31"/>
      <c r="U50" s="30"/>
      <c r="V50" s="31"/>
      <c r="W50" s="30"/>
      <c r="X50" s="31"/>
      <c r="Y50" s="30"/>
      <c r="Z50" s="31"/>
      <c r="AA50" s="30"/>
      <c r="AB50" s="31"/>
      <c r="AC50" s="30"/>
      <c r="AD50" s="43"/>
      <c r="AE50" s="44"/>
      <c r="AF50" s="45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1"/>
      <c r="C54" s="41" t="s">
        <v>124</v>
      </c>
      <c r="D54" s="35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1" t="s">
        <v>125</v>
      </c>
      <c r="AC54" s="35"/>
      <c r="AD54" s="35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1"/>
      <c r="C55" s="35"/>
      <c r="D55" s="35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5"/>
      <c r="AC55" s="35"/>
      <c r="AD55" s="35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1"/>
      <c r="C56" s="41" t="s">
        <v>126</v>
      </c>
      <c r="D56" s="3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41" t="s">
        <v>127</v>
      </c>
      <c r="AA56" s="35"/>
      <c r="AB56" s="35"/>
      <c r="AC56" s="35"/>
      <c r="AD56" s="35"/>
      <c r="AE56" s="35"/>
      <c r="AF56" s="35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3">
    <mergeCell ref="L50:M50"/>
    <mergeCell ref="C54:E55"/>
    <mergeCell ref="C56:E56"/>
    <mergeCell ref="H3:I3"/>
    <mergeCell ref="J3:K3"/>
    <mergeCell ref="D49:E49"/>
    <mergeCell ref="F49:G49"/>
    <mergeCell ref="H49:I49"/>
    <mergeCell ref="J49:K49"/>
    <mergeCell ref="D50:E50"/>
    <mergeCell ref="F50:G50"/>
    <mergeCell ref="H50:I50"/>
    <mergeCell ref="J50:K50"/>
    <mergeCell ref="L49:M49"/>
    <mergeCell ref="Z50:AA50"/>
    <mergeCell ref="AB50:AC50"/>
    <mergeCell ref="AB54:AD55"/>
    <mergeCell ref="Z56:AF56"/>
    <mergeCell ref="Z49:AA49"/>
    <mergeCell ref="AB49:AC49"/>
    <mergeCell ref="AD49:AF49"/>
    <mergeCell ref="N50:O50"/>
    <mergeCell ref="P50:Q50"/>
    <mergeCell ref="R50:S50"/>
    <mergeCell ref="T50:U50"/>
    <mergeCell ref="AD50:AF50"/>
    <mergeCell ref="P49:Q49"/>
    <mergeCell ref="R49:S49"/>
    <mergeCell ref="T49:U49"/>
    <mergeCell ref="A1:AF1"/>
    <mergeCell ref="A2:AF2"/>
    <mergeCell ref="A3:A4"/>
    <mergeCell ref="B3:B4"/>
    <mergeCell ref="C3:C4"/>
    <mergeCell ref="D3:E3"/>
    <mergeCell ref="F3:G3"/>
    <mergeCell ref="P3:Q3"/>
    <mergeCell ref="R3:S3"/>
    <mergeCell ref="Z3:AA3"/>
    <mergeCell ref="AB3:AC3"/>
    <mergeCell ref="AD3:AE3"/>
    <mergeCell ref="AF3:AG3"/>
    <mergeCell ref="L3:M3"/>
    <mergeCell ref="N3:O3"/>
    <mergeCell ref="T3:U3"/>
    <mergeCell ref="V49:W49"/>
    <mergeCell ref="X49:Y49"/>
    <mergeCell ref="V50:W50"/>
    <mergeCell ref="X50:Y50"/>
    <mergeCell ref="AJ3:AJ4"/>
    <mergeCell ref="AH3:AI3"/>
    <mergeCell ref="V3:W3"/>
    <mergeCell ref="X3:Y3"/>
  </mergeCells>
  <hyperlinks>
    <hyperlink ref="A3" r:id="rId1" xr:uid="{00000000-0004-0000-0000-000000000000}"/>
    <hyperlink ref="B3" r:id="rId2" xr:uid="{00000000-0004-0000-0000-000001000000}"/>
    <hyperlink ref="H49" r:id="rId3" xr:uid="{00000000-0004-0000-0000-000002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O999"/>
  <sheetViews>
    <sheetView workbookViewId="0"/>
  </sheetViews>
  <sheetFormatPr defaultColWidth="12.6640625" defaultRowHeight="15" customHeight="1"/>
  <cols>
    <col min="1" max="1" width="5.33203125" customWidth="1"/>
    <col min="2" max="2" width="10.88671875" customWidth="1"/>
    <col min="3" max="3" width="19" customWidth="1"/>
    <col min="4" max="4" width="3.44140625" customWidth="1"/>
    <col min="5" max="5" width="3.109375" customWidth="1"/>
    <col min="6" max="7" width="3.21875" customWidth="1"/>
    <col min="8" max="8" width="3.109375" customWidth="1"/>
    <col min="9" max="9" width="3.21875" customWidth="1"/>
    <col min="10" max="10" width="3" customWidth="1"/>
    <col min="11" max="11" width="2.77734375" customWidth="1"/>
    <col min="12" max="12" width="3" customWidth="1"/>
    <col min="13" max="13" width="2.77734375" customWidth="1"/>
    <col min="14" max="14" width="2.88671875" customWidth="1"/>
    <col min="15" max="15" width="4.44140625" customWidth="1"/>
    <col min="16" max="16" width="3.6640625" customWidth="1"/>
    <col min="17" max="18" width="3.33203125" customWidth="1"/>
    <col min="19" max="20" width="3.6640625" customWidth="1"/>
    <col min="21" max="21" width="3.44140625" customWidth="1"/>
    <col min="22" max="22" width="3.109375" customWidth="1"/>
    <col min="23" max="23" width="3.6640625" customWidth="1"/>
    <col min="24" max="24" width="3.77734375" customWidth="1"/>
    <col min="25" max="25" width="3.33203125" customWidth="1"/>
    <col min="26" max="27" width="3.21875" customWidth="1"/>
    <col min="28" max="28" width="3.44140625" customWidth="1"/>
    <col min="29" max="29" width="3.33203125" customWidth="1"/>
    <col min="30" max="30" width="4.21875" customWidth="1"/>
    <col min="31" max="31" width="4.88671875" customWidth="1"/>
    <col min="32" max="32" width="5.6640625" customWidth="1"/>
    <col min="33" max="33" width="5.21875" customWidth="1"/>
    <col min="34" max="34" width="6.77734375" customWidth="1"/>
    <col min="35" max="35" width="5.77734375" customWidth="1"/>
    <col min="36" max="36" width="7.88671875" customWidth="1"/>
  </cols>
  <sheetData>
    <row r="1" spans="1:41" ht="15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36" t="s">
        <v>128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37" t="s">
        <v>2</v>
      </c>
      <c r="B3" s="38" t="s">
        <v>129</v>
      </c>
      <c r="C3" s="39" t="s">
        <v>4</v>
      </c>
      <c r="D3" s="40" t="s">
        <v>5</v>
      </c>
      <c r="E3" s="30"/>
      <c r="F3" s="40" t="s">
        <v>6</v>
      </c>
      <c r="G3" s="30"/>
      <c r="H3" s="40" t="s">
        <v>7</v>
      </c>
      <c r="I3" s="30"/>
      <c r="J3" s="40" t="s">
        <v>8</v>
      </c>
      <c r="K3" s="30"/>
      <c r="L3" s="40" t="s">
        <v>9</v>
      </c>
      <c r="M3" s="30"/>
      <c r="N3" s="40" t="s">
        <v>10</v>
      </c>
      <c r="O3" s="30"/>
      <c r="P3" s="40" t="s">
        <v>11</v>
      </c>
      <c r="Q3" s="30"/>
      <c r="R3" s="40" t="s">
        <v>12</v>
      </c>
      <c r="S3" s="30"/>
      <c r="T3" s="40" t="s">
        <v>13</v>
      </c>
      <c r="U3" s="30"/>
      <c r="V3" s="40" t="s">
        <v>14</v>
      </c>
      <c r="W3" s="30"/>
      <c r="X3" s="40" t="s">
        <v>15</v>
      </c>
      <c r="Y3" s="30"/>
      <c r="Z3" s="40" t="s">
        <v>16</v>
      </c>
      <c r="AA3" s="30"/>
      <c r="AB3" s="40" t="s">
        <v>17</v>
      </c>
      <c r="AC3" s="30"/>
      <c r="AD3" s="40" t="s">
        <v>18</v>
      </c>
      <c r="AE3" s="30"/>
      <c r="AF3" s="40" t="s">
        <v>19</v>
      </c>
      <c r="AG3" s="30"/>
      <c r="AH3" s="40" t="s">
        <v>20</v>
      </c>
      <c r="AI3" s="30"/>
      <c r="AJ3" s="32" t="s">
        <v>21</v>
      </c>
      <c r="AK3" s="1" t="s">
        <v>22</v>
      </c>
      <c r="AL3" s="1"/>
      <c r="AM3" s="1"/>
      <c r="AN3" s="1"/>
      <c r="AO3" s="1"/>
    </row>
    <row r="4" spans="1:41" ht="15.75" customHeight="1">
      <c r="A4" s="33"/>
      <c r="B4" s="33"/>
      <c r="C4" s="33"/>
      <c r="D4" s="2" t="s">
        <v>23</v>
      </c>
      <c r="E4" s="2" t="s">
        <v>24</v>
      </c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33"/>
      <c r="AK4" s="1"/>
      <c r="AL4" s="1"/>
      <c r="AM4" s="1"/>
      <c r="AN4" s="1"/>
      <c r="AO4" s="1"/>
    </row>
    <row r="5" spans="1:41" ht="15.75" customHeight="1">
      <c r="A5" s="3">
        <v>1</v>
      </c>
      <c r="B5" s="4" t="s">
        <v>25</v>
      </c>
      <c r="C5" s="5" t="s">
        <v>26</v>
      </c>
      <c r="D5" s="6">
        <v>14</v>
      </c>
      <c r="E5" s="7">
        <v>13</v>
      </c>
      <c r="F5" s="8">
        <v>17</v>
      </c>
      <c r="G5" s="6">
        <v>14</v>
      </c>
      <c r="H5" s="9">
        <v>13</v>
      </c>
      <c r="I5" s="10">
        <v>11</v>
      </c>
      <c r="J5" s="6">
        <v>16</v>
      </c>
      <c r="K5" s="7">
        <v>15</v>
      </c>
      <c r="L5" s="11">
        <v>16</v>
      </c>
      <c r="M5" s="6">
        <v>14</v>
      </c>
      <c r="N5" s="12">
        <v>17</v>
      </c>
      <c r="O5" s="12">
        <v>16</v>
      </c>
      <c r="P5" s="6">
        <v>15</v>
      </c>
      <c r="Q5" s="6">
        <v>15</v>
      </c>
      <c r="R5" s="12">
        <v>8</v>
      </c>
      <c r="S5" s="12">
        <v>8</v>
      </c>
      <c r="T5" s="6">
        <v>6</v>
      </c>
      <c r="U5" s="7">
        <v>6</v>
      </c>
      <c r="V5" s="12">
        <v>4</v>
      </c>
      <c r="W5" s="12">
        <v>4</v>
      </c>
      <c r="X5" s="7">
        <v>4</v>
      </c>
      <c r="Y5" s="7">
        <v>4</v>
      </c>
      <c r="Z5" s="13">
        <v>16</v>
      </c>
      <c r="AA5" s="13">
        <v>14</v>
      </c>
      <c r="AB5" s="13">
        <v>8</v>
      </c>
      <c r="AC5" s="7">
        <v>7</v>
      </c>
      <c r="AD5" s="7">
        <v>21</v>
      </c>
      <c r="AE5" s="7">
        <v>18</v>
      </c>
      <c r="AF5" s="8">
        <v>3</v>
      </c>
      <c r="AG5" s="12">
        <v>3</v>
      </c>
      <c r="AH5" s="9">
        <f t="shared" ref="AH5:AH48" si="0">(D5+F5+H5+J5+N5+P5+R5+T5+V5+X5+Z5+AB5+AD5+AF5+L5)</f>
        <v>178</v>
      </c>
      <c r="AI5" s="10">
        <f t="shared" ref="AI5:AI48" si="1">(E5+G5+I5+K5+M5+O5+Q5+S5+U5+W5+Y5+AA5+AC5+AE5+AG5)</f>
        <v>162</v>
      </c>
      <c r="AJ5" s="14">
        <f t="shared" ref="AJ5:AJ48" si="2">(AI5/AH5)*100</f>
        <v>91.011235955056179</v>
      </c>
      <c r="AK5" s="15"/>
      <c r="AL5" s="15"/>
      <c r="AM5" s="15"/>
      <c r="AN5" s="15"/>
      <c r="AO5" s="15">
        <v>1</v>
      </c>
    </row>
    <row r="6" spans="1:41" ht="15.75" customHeight="1">
      <c r="A6" s="3">
        <v>2</v>
      </c>
      <c r="B6" s="4" t="s">
        <v>27</v>
      </c>
      <c r="C6" s="5" t="s">
        <v>28</v>
      </c>
      <c r="D6" s="6">
        <v>14</v>
      </c>
      <c r="E6" s="7">
        <v>12</v>
      </c>
      <c r="F6" s="8">
        <v>17</v>
      </c>
      <c r="G6" s="6">
        <v>13</v>
      </c>
      <c r="H6" s="9">
        <v>13</v>
      </c>
      <c r="I6" s="10">
        <v>10</v>
      </c>
      <c r="J6" s="6">
        <v>16</v>
      </c>
      <c r="K6" s="7">
        <v>15</v>
      </c>
      <c r="L6" s="11">
        <v>16</v>
      </c>
      <c r="M6" s="6">
        <v>14</v>
      </c>
      <c r="N6" s="12">
        <v>17</v>
      </c>
      <c r="O6" s="12">
        <v>14</v>
      </c>
      <c r="P6" s="6">
        <v>15</v>
      </c>
      <c r="Q6" s="6">
        <v>12</v>
      </c>
      <c r="R6" s="12">
        <v>8</v>
      </c>
      <c r="S6" s="12">
        <v>8</v>
      </c>
      <c r="T6" s="6">
        <v>6</v>
      </c>
      <c r="U6" s="7">
        <v>6</v>
      </c>
      <c r="V6" s="12">
        <v>4</v>
      </c>
      <c r="W6" s="12">
        <v>4</v>
      </c>
      <c r="X6" s="7">
        <v>4</v>
      </c>
      <c r="Y6" s="7">
        <v>4</v>
      </c>
      <c r="Z6" s="13">
        <v>16</v>
      </c>
      <c r="AA6" s="13">
        <v>10</v>
      </c>
      <c r="AB6" s="13">
        <v>8</v>
      </c>
      <c r="AC6" s="7">
        <v>4</v>
      </c>
      <c r="AD6" s="7">
        <v>21</v>
      </c>
      <c r="AE6" s="7">
        <v>16</v>
      </c>
      <c r="AF6" s="8">
        <v>3</v>
      </c>
      <c r="AG6" s="12">
        <v>3</v>
      </c>
      <c r="AH6" s="9">
        <f t="shared" si="0"/>
        <v>178</v>
      </c>
      <c r="AI6" s="10">
        <f t="shared" si="1"/>
        <v>145</v>
      </c>
      <c r="AJ6" s="14">
        <f t="shared" si="2"/>
        <v>81.460674157303373</v>
      </c>
      <c r="AK6" s="15"/>
      <c r="AL6" s="15"/>
      <c r="AM6" s="15"/>
      <c r="AN6" s="15"/>
      <c r="AO6" s="15"/>
    </row>
    <row r="7" spans="1:41" ht="15.75" customHeight="1">
      <c r="A7" s="3">
        <v>3</v>
      </c>
      <c r="B7" s="4" t="s">
        <v>29</v>
      </c>
      <c r="C7" s="5" t="s">
        <v>30</v>
      </c>
      <c r="D7" s="6">
        <v>14</v>
      </c>
      <c r="E7" s="7">
        <v>8</v>
      </c>
      <c r="F7" s="8">
        <v>17</v>
      </c>
      <c r="G7" s="6">
        <v>11</v>
      </c>
      <c r="H7" s="9">
        <v>13</v>
      </c>
      <c r="I7" s="10">
        <v>7</v>
      </c>
      <c r="J7" s="6">
        <v>16</v>
      </c>
      <c r="K7" s="7">
        <v>11</v>
      </c>
      <c r="L7" s="11">
        <v>16</v>
      </c>
      <c r="M7" s="6">
        <v>9</v>
      </c>
      <c r="N7" s="12">
        <v>17</v>
      </c>
      <c r="O7" s="12">
        <v>11</v>
      </c>
      <c r="P7" s="6">
        <v>15</v>
      </c>
      <c r="Q7" s="6">
        <v>6</v>
      </c>
      <c r="R7" s="12">
        <v>8</v>
      </c>
      <c r="S7" s="12">
        <v>6</v>
      </c>
      <c r="T7" s="6">
        <v>6</v>
      </c>
      <c r="U7" s="7">
        <v>3</v>
      </c>
      <c r="V7" s="12">
        <v>4</v>
      </c>
      <c r="W7" s="12">
        <v>3</v>
      </c>
      <c r="X7" s="7">
        <v>4</v>
      </c>
      <c r="Y7" s="7">
        <v>2</v>
      </c>
      <c r="Z7" s="13">
        <v>16</v>
      </c>
      <c r="AA7" s="13">
        <v>10</v>
      </c>
      <c r="AB7" s="13">
        <v>8</v>
      </c>
      <c r="AC7" s="7">
        <v>5</v>
      </c>
      <c r="AD7" s="7">
        <v>21</v>
      </c>
      <c r="AE7" s="7">
        <v>13</v>
      </c>
      <c r="AF7" s="8">
        <v>3</v>
      </c>
      <c r="AG7" s="12">
        <v>2</v>
      </c>
      <c r="AH7" s="9">
        <f t="shared" si="0"/>
        <v>178</v>
      </c>
      <c r="AI7" s="10">
        <f t="shared" si="1"/>
        <v>107</v>
      </c>
      <c r="AJ7" s="14">
        <f t="shared" si="2"/>
        <v>60.112359550561798</v>
      </c>
      <c r="AK7" s="15"/>
      <c r="AL7" s="15"/>
      <c r="AM7" s="15"/>
      <c r="AN7" s="15"/>
      <c r="AO7" s="15"/>
    </row>
    <row r="8" spans="1:41" ht="15.75" customHeight="1">
      <c r="A8" s="3">
        <v>4</v>
      </c>
      <c r="B8" s="4" t="s">
        <v>31</v>
      </c>
      <c r="C8" s="5" t="s">
        <v>32</v>
      </c>
      <c r="D8" s="6">
        <v>14</v>
      </c>
      <c r="E8" s="7">
        <v>14</v>
      </c>
      <c r="F8" s="8">
        <v>17</v>
      </c>
      <c r="G8" s="6">
        <v>17</v>
      </c>
      <c r="H8" s="9">
        <v>13</v>
      </c>
      <c r="I8" s="10">
        <v>13</v>
      </c>
      <c r="J8" s="6">
        <v>16</v>
      </c>
      <c r="K8" s="7">
        <v>15</v>
      </c>
      <c r="L8" s="11">
        <v>16</v>
      </c>
      <c r="M8" s="6">
        <v>16</v>
      </c>
      <c r="N8" s="12">
        <v>17</v>
      </c>
      <c r="O8" s="12">
        <v>17</v>
      </c>
      <c r="P8" s="6">
        <v>15</v>
      </c>
      <c r="Q8" s="6">
        <v>15</v>
      </c>
      <c r="R8" s="12">
        <v>8</v>
      </c>
      <c r="S8" s="12">
        <v>8</v>
      </c>
      <c r="T8" s="6">
        <v>6</v>
      </c>
      <c r="U8" s="7">
        <v>6</v>
      </c>
      <c r="V8" s="12">
        <v>4</v>
      </c>
      <c r="W8" s="12">
        <v>4</v>
      </c>
      <c r="X8" s="7">
        <v>4</v>
      </c>
      <c r="Y8" s="7">
        <v>4</v>
      </c>
      <c r="Z8" s="13">
        <v>16</v>
      </c>
      <c r="AA8" s="13">
        <v>14</v>
      </c>
      <c r="AB8" s="13">
        <v>8</v>
      </c>
      <c r="AC8" s="7">
        <v>8</v>
      </c>
      <c r="AD8" s="7">
        <v>21</v>
      </c>
      <c r="AE8" s="7">
        <v>21</v>
      </c>
      <c r="AF8" s="8">
        <v>3</v>
      </c>
      <c r="AG8" s="12">
        <v>3</v>
      </c>
      <c r="AH8" s="9">
        <f t="shared" si="0"/>
        <v>178</v>
      </c>
      <c r="AI8" s="10">
        <f t="shared" si="1"/>
        <v>175</v>
      </c>
      <c r="AJ8" s="14">
        <f t="shared" si="2"/>
        <v>98.31460674157303</v>
      </c>
      <c r="AK8" s="15"/>
      <c r="AL8" s="15"/>
      <c r="AM8" s="15"/>
      <c r="AN8" s="15"/>
      <c r="AO8" s="15"/>
    </row>
    <row r="9" spans="1:41" ht="15.75" customHeight="1">
      <c r="A9" s="3">
        <v>5</v>
      </c>
      <c r="B9" s="4" t="s">
        <v>33</v>
      </c>
      <c r="C9" s="5" t="s">
        <v>34</v>
      </c>
      <c r="D9" s="6">
        <v>14</v>
      </c>
      <c r="E9" s="7">
        <v>12</v>
      </c>
      <c r="F9" s="8">
        <v>17</v>
      </c>
      <c r="G9" s="6">
        <v>13</v>
      </c>
      <c r="H9" s="9">
        <v>13</v>
      </c>
      <c r="I9" s="10">
        <v>10</v>
      </c>
      <c r="J9" s="6">
        <v>16</v>
      </c>
      <c r="K9" s="7">
        <v>14</v>
      </c>
      <c r="L9" s="11">
        <v>16</v>
      </c>
      <c r="M9" s="6">
        <v>14</v>
      </c>
      <c r="N9" s="12">
        <v>17</v>
      </c>
      <c r="O9" s="12">
        <v>15</v>
      </c>
      <c r="P9" s="6">
        <v>15</v>
      </c>
      <c r="Q9" s="6">
        <v>12</v>
      </c>
      <c r="R9" s="12">
        <v>8</v>
      </c>
      <c r="S9" s="12">
        <v>6</v>
      </c>
      <c r="T9" s="6">
        <v>6</v>
      </c>
      <c r="U9" s="7">
        <v>6</v>
      </c>
      <c r="V9" s="12">
        <v>4</v>
      </c>
      <c r="W9" s="12">
        <v>3</v>
      </c>
      <c r="X9" s="7">
        <v>4</v>
      </c>
      <c r="Y9" s="7">
        <v>3</v>
      </c>
      <c r="Z9" s="13">
        <v>16</v>
      </c>
      <c r="AA9" s="13">
        <v>10</v>
      </c>
      <c r="AB9" s="13">
        <v>8</v>
      </c>
      <c r="AC9" s="7">
        <v>5</v>
      </c>
      <c r="AD9" s="7">
        <v>21</v>
      </c>
      <c r="AE9" s="7">
        <v>16</v>
      </c>
      <c r="AF9" s="8">
        <v>3</v>
      </c>
      <c r="AG9" s="12">
        <v>3</v>
      </c>
      <c r="AH9" s="9">
        <f t="shared" si="0"/>
        <v>178</v>
      </c>
      <c r="AI9" s="10">
        <f t="shared" si="1"/>
        <v>142</v>
      </c>
      <c r="AJ9" s="14">
        <f t="shared" si="2"/>
        <v>79.775280898876403</v>
      </c>
      <c r="AK9" s="15"/>
      <c r="AL9" s="15"/>
      <c r="AM9" s="15"/>
      <c r="AN9" s="15"/>
      <c r="AO9" s="15"/>
    </row>
    <row r="10" spans="1:41" ht="15.75" customHeight="1">
      <c r="A10" s="3">
        <v>6</v>
      </c>
      <c r="B10" s="4" t="s">
        <v>35</v>
      </c>
      <c r="C10" s="5" t="s">
        <v>36</v>
      </c>
      <c r="D10" s="6">
        <v>14</v>
      </c>
      <c r="E10" s="7">
        <v>11</v>
      </c>
      <c r="F10" s="8">
        <v>17</v>
      </c>
      <c r="G10" s="6">
        <v>10</v>
      </c>
      <c r="H10" s="9">
        <v>13</v>
      </c>
      <c r="I10" s="10">
        <v>8</v>
      </c>
      <c r="J10" s="6">
        <v>16</v>
      </c>
      <c r="K10" s="7">
        <v>13</v>
      </c>
      <c r="L10" s="11">
        <v>16</v>
      </c>
      <c r="M10" s="6">
        <v>12</v>
      </c>
      <c r="N10" s="12">
        <v>17</v>
      </c>
      <c r="O10" s="12">
        <v>14</v>
      </c>
      <c r="P10" s="6">
        <v>15</v>
      </c>
      <c r="Q10" s="6">
        <v>12</v>
      </c>
      <c r="R10" s="12">
        <v>8</v>
      </c>
      <c r="S10" s="12">
        <v>6</v>
      </c>
      <c r="T10" s="6">
        <v>6</v>
      </c>
      <c r="U10" s="7">
        <v>6</v>
      </c>
      <c r="V10" s="12">
        <v>4</v>
      </c>
      <c r="W10" s="12">
        <v>3</v>
      </c>
      <c r="X10" s="7">
        <v>4</v>
      </c>
      <c r="Y10" s="7">
        <v>3</v>
      </c>
      <c r="Z10" s="13">
        <v>16</v>
      </c>
      <c r="AA10" s="13">
        <v>6</v>
      </c>
      <c r="AB10" s="13">
        <v>8</v>
      </c>
      <c r="AC10" s="7">
        <v>3</v>
      </c>
      <c r="AD10" s="7">
        <v>21</v>
      </c>
      <c r="AE10" s="7">
        <v>11</v>
      </c>
      <c r="AF10" s="8">
        <v>3</v>
      </c>
      <c r="AG10" s="12">
        <v>2</v>
      </c>
      <c r="AH10" s="9">
        <f t="shared" si="0"/>
        <v>178</v>
      </c>
      <c r="AI10" s="10">
        <f t="shared" si="1"/>
        <v>120</v>
      </c>
      <c r="AJ10" s="14">
        <f t="shared" si="2"/>
        <v>67.415730337078656</v>
      </c>
      <c r="AK10" s="15"/>
      <c r="AL10" s="15"/>
      <c r="AM10" s="15"/>
      <c r="AN10" s="15"/>
      <c r="AO10" s="15"/>
    </row>
    <row r="11" spans="1:41" ht="15.75" customHeight="1">
      <c r="A11" s="3">
        <v>7</v>
      </c>
      <c r="B11" s="4" t="s">
        <v>37</v>
      </c>
      <c r="C11" s="5" t="s">
        <v>38</v>
      </c>
      <c r="D11" s="6">
        <v>14</v>
      </c>
      <c r="E11" s="7">
        <v>11</v>
      </c>
      <c r="F11" s="8">
        <v>17</v>
      </c>
      <c r="G11" s="6">
        <v>11</v>
      </c>
      <c r="H11" s="9">
        <v>13</v>
      </c>
      <c r="I11" s="10">
        <v>8</v>
      </c>
      <c r="J11" s="6">
        <v>16</v>
      </c>
      <c r="K11" s="7">
        <v>13</v>
      </c>
      <c r="L11" s="11">
        <v>16</v>
      </c>
      <c r="M11" s="6">
        <v>13</v>
      </c>
      <c r="N11" s="12">
        <v>17</v>
      </c>
      <c r="O11" s="12">
        <v>14</v>
      </c>
      <c r="P11" s="6">
        <v>15</v>
      </c>
      <c r="Q11" s="6">
        <v>9</v>
      </c>
      <c r="R11" s="12">
        <v>8</v>
      </c>
      <c r="S11" s="12">
        <v>6</v>
      </c>
      <c r="T11" s="6">
        <v>6</v>
      </c>
      <c r="U11" s="7">
        <v>6</v>
      </c>
      <c r="V11" s="12">
        <v>4</v>
      </c>
      <c r="W11" s="12">
        <v>3</v>
      </c>
      <c r="X11" s="7">
        <v>4</v>
      </c>
      <c r="Y11" s="7">
        <v>3</v>
      </c>
      <c r="Z11" s="13">
        <v>16</v>
      </c>
      <c r="AA11" s="13">
        <v>8</v>
      </c>
      <c r="AB11" s="13">
        <v>8</v>
      </c>
      <c r="AC11" s="7">
        <v>4</v>
      </c>
      <c r="AD11" s="7">
        <v>21</v>
      </c>
      <c r="AE11" s="7">
        <v>18</v>
      </c>
      <c r="AF11" s="8">
        <v>3</v>
      </c>
      <c r="AG11" s="12">
        <v>3</v>
      </c>
      <c r="AH11" s="9">
        <f t="shared" si="0"/>
        <v>178</v>
      </c>
      <c r="AI11" s="10">
        <f t="shared" si="1"/>
        <v>130</v>
      </c>
      <c r="AJ11" s="14">
        <f t="shared" si="2"/>
        <v>73.033707865168537</v>
      </c>
      <c r="AK11" s="15"/>
      <c r="AL11" s="15"/>
      <c r="AM11" s="15"/>
      <c r="AN11" s="15"/>
      <c r="AO11" s="15"/>
    </row>
    <row r="12" spans="1:41" ht="15.75" customHeight="1">
      <c r="A12" s="3">
        <v>8</v>
      </c>
      <c r="B12" s="4" t="s">
        <v>39</v>
      </c>
      <c r="C12" s="5" t="s">
        <v>40</v>
      </c>
      <c r="D12" s="6">
        <v>14</v>
      </c>
      <c r="E12" s="7">
        <v>10</v>
      </c>
      <c r="F12" s="8">
        <v>17</v>
      </c>
      <c r="G12" s="6">
        <v>13</v>
      </c>
      <c r="H12" s="9">
        <v>13</v>
      </c>
      <c r="I12" s="10">
        <v>8</v>
      </c>
      <c r="J12" s="6">
        <v>16</v>
      </c>
      <c r="K12" s="7">
        <v>13</v>
      </c>
      <c r="L12" s="11">
        <v>16</v>
      </c>
      <c r="M12" s="6">
        <v>13</v>
      </c>
      <c r="N12" s="12">
        <v>17</v>
      </c>
      <c r="O12" s="12">
        <v>13</v>
      </c>
      <c r="P12" s="6">
        <v>15</v>
      </c>
      <c r="Q12" s="6">
        <v>9</v>
      </c>
      <c r="R12" s="12">
        <v>8</v>
      </c>
      <c r="S12" s="12">
        <v>6</v>
      </c>
      <c r="T12" s="6">
        <v>6</v>
      </c>
      <c r="U12" s="7">
        <v>6</v>
      </c>
      <c r="V12" s="12">
        <v>4</v>
      </c>
      <c r="W12" s="12">
        <v>3</v>
      </c>
      <c r="X12" s="7">
        <v>4</v>
      </c>
      <c r="Y12" s="7">
        <v>1</v>
      </c>
      <c r="Z12" s="13">
        <v>16</v>
      </c>
      <c r="AA12" s="13">
        <v>6</v>
      </c>
      <c r="AB12" s="13">
        <v>8</v>
      </c>
      <c r="AC12" s="7">
        <v>3</v>
      </c>
      <c r="AD12" s="7">
        <v>21</v>
      </c>
      <c r="AE12" s="7">
        <v>16</v>
      </c>
      <c r="AF12" s="8">
        <v>3</v>
      </c>
      <c r="AG12" s="12">
        <v>3</v>
      </c>
      <c r="AH12" s="9">
        <f t="shared" si="0"/>
        <v>178</v>
      </c>
      <c r="AI12" s="10">
        <f t="shared" si="1"/>
        <v>123</v>
      </c>
      <c r="AJ12" s="14">
        <f t="shared" si="2"/>
        <v>69.101123595505626</v>
      </c>
      <c r="AK12" s="15"/>
      <c r="AL12" s="15"/>
      <c r="AM12" s="15"/>
      <c r="AN12" s="15"/>
      <c r="AO12" s="15"/>
    </row>
    <row r="13" spans="1:41" ht="15.75" customHeight="1">
      <c r="A13" s="3">
        <v>9</v>
      </c>
      <c r="B13" s="4" t="s">
        <v>41</v>
      </c>
      <c r="C13" s="5" t="s">
        <v>42</v>
      </c>
      <c r="D13" s="6">
        <v>14</v>
      </c>
      <c r="E13" s="7">
        <v>11</v>
      </c>
      <c r="F13" s="8">
        <v>17</v>
      </c>
      <c r="G13" s="6">
        <v>11</v>
      </c>
      <c r="H13" s="9">
        <v>13</v>
      </c>
      <c r="I13" s="10">
        <v>9</v>
      </c>
      <c r="J13" s="6">
        <v>16</v>
      </c>
      <c r="K13" s="7">
        <v>14</v>
      </c>
      <c r="L13" s="11">
        <v>16</v>
      </c>
      <c r="M13" s="6">
        <v>13</v>
      </c>
      <c r="N13" s="12">
        <v>17</v>
      </c>
      <c r="O13" s="12">
        <v>11</v>
      </c>
      <c r="P13" s="6">
        <v>15</v>
      </c>
      <c r="Q13" s="6">
        <v>12</v>
      </c>
      <c r="R13" s="12">
        <v>8</v>
      </c>
      <c r="S13" s="12">
        <v>8</v>
      </c>
      <c r="T13" s="6">
        <v>6</v>
      </c>
      <c r="U13" s="7">
        <v>6</v>
      </c>
      <c r="V13" s="12">
        <v>4</v>
      </c>
      <c r="W13" s="12">
        <v>4</v>
      </c>
      <c r="X13" s="7">
        <v>4</v>
      </c>
      <c r="Y13" s="7">
        <v>4</v>
      </c>
      <c r="Z13" s="13">
        <v>16</v>
      </c>
      <c r="AA13" s="13">
        <v>8</v>
      </c>
      <c r="AB13" s="13">
        <v>8</v>
      </c>
      <c r="AC13" s="7">
        <v>4</v>
      </c>
      <c r="AD13" s="7">
        <v>21</v>
      </c>
      <c r="AE13" s="7">
        <v>14</v>
      </c>
      <c r="AF13" s="8">
        <v>3</v>
      </c>
      <c r="AG13" s="12">
        <v>2</v>
      </c>
      <c r="AH13" s="9">
        <f t="shared" si="0"/>
        <v>178</v>
      </c>
      <c r="AI13" s="10">
        <f t="shared" si="1"/>
        <v>131</v>
      </c>
      <c r="AJ13" s="14">
        <f t="shared" si="2"/>
        <v>73.595505617977537</v>
      </c>
      <c r="AK13" s="15"/>
      <c r="AL13" s="15"/>
      <c r="AM13" s="15"/>
      <c r="AN13" s="15"/>
      <c r="AO13" s="15"/>
    </row>
    <row r="14" spans="1:41" ht="15.75" customHeight="1">
      <c r="A14" s="3">
        <v>10</v>
      </c>
      <c r="B14" s="4" t="s">
        <v>43</v>
      </c>
      <c r="C14" s="5" t="s">
        <v>44</v>
      </c>
      <c r="D14" s="6">
        <v>14</v>
      </c>
      <c r="E14" s="7">
        <v>13</v>
      </c>
      <c r="F14" s="8">
        <v>17</v>
      </c>
      <c r="G14" s="6">
        <v>13</v>
      </c>
      <c r="H14" s="9">
        <v>13</v>
      </c>
      <c r="I14" s="10">
        <v>12</v>
      </c>
      <c r="J14" s="6">
        <v>16</v>
      </c>
      <c r="K14" s="7">
        <v>15</v>
      </c>
      <c r="L14" s="11">
        <v>16</v>
      </c>
      <c r="M14" s="6">
        <v>14</v>
      </c>
      <c r="N14" s="12">
        <v>17</v>
      </c>
      <c r="O14" s="12">
        <v>13</v>
      </c>
      <c r="P14" s="6">
        <v>15</v>
      </c>
      <c r="Q14" s="6">
        <v>12</v>
      </c>
      <c r="R14" s="12">
        <v>8</v>
      </c>
      <c r="S14" s="12">
        <v>8</v>
      </c>
      <c r="T14" s="6">
        <v>6</v>
      </c>
      <c r="U14" s="7">
        <v>3</v>
      </c>
      <c r="V14" s="12">
        <v>4</v>
      </c>
      <c r="W14" s="12">
        <v>4</v>
      </c>
      <c r="X14" s="7">
        <v>4</v>
      </c>
      <c r="Y14" s="7">
        <v>4</v>
      </c>
      <c r="Z14" s="13">
        <v>16</v>
      </c>
      <c r="AA14" s="13">
        <v>8</v>
      </c>
      <c r="AB14" s="13">
        <v>8</v>
      </c>
      <c r="AC14" s="7">
        <v>4</v>
      </c>
      <c r="AD14" s="7">
        <v>21</v>
      </c>
      <c r="AE14" s="7">
        <v>18</v>
      </c>
      <c r="AF14" s="8">
        <v>3</v>
      </c>
      <c r="AG14" s="12">
        <v>3</v>
      </c>
      <c r="AH14" s="9">
        <f t="shared" si="0"/>
        <v>178</v>
      </c>
      <c r="AI14" s="10">
        <f t="shared" si="1"/>
        <v>144</v>
      </c>
      <c r="AJ14" s="14">
        <f t="shared" si="2"/>
        <v>80.898876404494374</v>
      </c>
      <c r="AK14" s="15"/>
      <c r="AL14" s="15"/>
      <c r="AM14" s="15"/>
      <c r="AN14" s="15"/>
      <c r="AO14" s="15"/>
    </row>
    <row r="15" spans="1:41" ht="15.75" customHeight="1">
      <c r="A15" s="3">
        <v>11</v>
      </c>
      <c r="B15" s="4" t="s">
        <v>45</v>
      </c>
      <c r="C15" s="5" t="s">
        <v>46</v>
      </c>
      <c r="D15" s="6">
        <v>14</v>
      </c>
      <c r="E15" s="7">
        <v>12</v>
      </c>
      <c r="F15" s="8">
        <v>17</v>
      </c>
      <c r="G15" s="6">
        <v>14</v>
      </c>
      <c r="H15" s="9">
        <v>13</v>
      </c>
      <c r="I15" s="10">
        <v>11</v>
      </c>
      <c r="J15" s="6">
        <v>16</v>
      </c>
      <c r="K15" s="7">
        <v>15</v>
      </c>
      <c r="L15" s="11">
        <v>16</v>
      </c>
      <c r="M15" s="6">
        <v>14</v>
      </c>
      <c r="N15" s="12">
        <v>17</v>
      </c>
      <c r="O15" s="12">
        <v>15</v>
      </c>
      <c r="P15" s="6">
        <v>15</v>
      </c>
      <c r="Q15" s="6">
        <v>15</v>
      </c>
      <c r="R15" s="12">
        <v>8</v>
      </c>
      <c r="S15" s="12">
        <v>8</v>
      </c>
      <c r="T15" s="6">
        <v>6</v>
      </c>
      <c r="U15" s="7">
        <v>6</v>
      </c>
      <c r="V15" s="12">
        <v>4</v>
      </c>
      <c r="W15" s="12">
        <v>4</v>
      </c>
      <c r="X15" s="7">
        <v>4</v>
      </c>
      <c r="Y15" s="7">
        <v>2</v>
      </c>
      <c r="Z15" s="13">
        <v>16</v>
      </c>
      <c r="AA15" s="13">
        <v>8</v>
      </c>
      <c r="AB15" s="13">
        <v>8</v>
      </c>
      <c r="AC15" s="7">
        <v>4</v>
      </c>
      <c r="AD15" s="7">
        <v>21</v>
      </c>
      <c r="AE15" s="7">
        <v>18</v>
      </c>
      <c r="AF15" s="8">
        <v>3</v>
      </c>
      <c r="AG15" s="12">
        <v>3</v>
      </c>
      <c r="AH15" s="9">
        <f t="shared" si="0"/>
        <v>178</v>
      </c>
      <c r="AI15" s="10">
        <f t="shared" si="1"/>
        <v>149</v>
      </c>
      <c r="AJ15" s="14">
        <f t="shared" si="2"/>
        <v>83.707865168539328</v>
      </c>
      <c r="AK15" s="15"/>
      <c r="AL15" s="15"/>
      <c r="AM15" s="15"/>
      <c r="AN15" s="15"/>
      <c r="AO15" s="15"/>
    </row>
    <row r="16" spans="1:41" ht="15.75" customHeight="1">
      <c r="A16" s="3">
        <v>12</v>
      </c>
      <c r="B16" s="4" t="s">
        <v>47</v>
      </c>
      <c r="C16" s="5" t="s">
        <v>48</v>
      </c>
      <c r="D16" s="6">
        <v>14</v>
      </c>
      <c r="E16" s="7">
        <v>10</v>
      </c>
      <c r="F16" s="8">
        <v>17</v>
      </c>
      <c r="G16" s="6">
        <v>14</v>
      </c>
      <c r="H16" s="9">
        <v>13</v>
      </c>
      <c r="I16" s="10">
        <v>9</v>
      </c>
      <c r="J16" s="6">
        <v>16</v>
      </c>
      <c r="K16" s="7">
        <v>13</v>
      </c>
      <c r="L16" s="11">
        <v>16</v>
      </c>
      <c r="M16" s="6">
        <v>11</v>
      </c>
      <c r="N16" s="12">
        <v>17</v>
      </c>
      <c r="O16" s="12">
        <v>13</v>
      </c>
      <c r="P16" s="6">
        <v>15</v>
      </c>
      <c r="Q16" s="6">
        <v>9</v>
      </c>
      <c r="R16" s="12">
        <v>8</v>
      </c>
      <c r="S16" s="12">
        <v>8</v>
      </c>
      <c r="T16" s="6">
        <v>6</v>
      </c>
      <c r="U16" s="7">
        <v>6</v>
      </c>
      <c r="V16" s="12">
        <v>4</v>
      </c>
      <c r="W16" s="12">
        <v>4</v>
      </c>
      <c r="X16" s="7">
        <v>4</v>
      </c>
      <c r="Y16" s="7">
        <v>4</v>
      </c>
      <c r="Z16" s="13">
        <v>16</v>
      </c>
      <c r="AA16" s="13">
        <v>14</v>
      </c>
      <c r="AB16" s="13">
        <v>8</v>
      </c>
      <c r="AC16" s="7">
        <v>8</v>
      </c>
      <c r="AD16" s="7">
        <v>21</v>
      </c>
      <c r="AE16" s="7">
        <v>16</v>
      </c>
      <c r="AF16" s="8">
        <v>3</v>
      </c>
      <c r="AG16" s="12">
        <v>2</v>
      </c>
      <c r="AH16" s="9">
        <f t="shared" si="0"/>
        <v>178</v>
      </c>
      <c r="AI16" s="10">
        <f t="shared" si="1"/>
        <v>141</v>
      </c>
      <c r="AJ16" s="14">
        <f t="shared" si="2"/>
        <v>79.213483146067418</v>
      </c>
      <c r="AK16" s="15"/>
      <c r="AL16" s="15"/>
      <c r="AM16" s="15"/>
      <c r="AN16" s="15"/>
      <c r="AO16" s="15"/>
    </row>
    <row r="17" spans="1:41" ht="15.75" customHeight="1">
      <c r="A17" s="3">
        <v>13</v>
      </c>
      <c r="B17" s="4" t="s">
        <v>49</v>
      </c>
      <c r="C17" s="5" t="s">
        <v>50</v>
      </c>
      <c r="D17" s="6">
        <v>14</v>
      </c>
      <c r="E17" s="7">
        <v>10</v>
      </c>
      <c r="F17" s="8">
        <v>17</v>
      </c>
      <c r="G17" s="6">
        <v>13</v>
      </c>
      <c r="H17" s="9">
        <v>13</v>
      </c>
      <c r="I17" s="10">
        <v>10</v>
      </c>
      <c r="J17" s="6">
        <v>16</v>
      </c>
      <c r="K17" s="7">
        <v>15</v>
      </c>
      <c r="L17" s="11">
        <v>16</v>
      </c>
      <c r="M17" s="6">
        <v>12</v>
      </c>
      <c r="N17" s="12">
        <v>17</v>
      </c>
      <c r="O17" s="12">
        <v>12</v>
      </c>
      <c r="P17" s="6">
        <v>15</v>
      </c>
      <c r="Q17" s="6">
        <v>9</v>
      </c>
      <c r="R17" s="12">
        <v>8</v>
      </c>
      <c r="S17" s="12">
        <v>6</v>
      </c>
      <c r="T17" s="6">
        <v>6</v>
      </c>
      <c r="U17" s="7">
        <v>3</v>
      </c>
      <c r="V17" s="12">
        <v>4</v>
      </c>
      <c r="W17" s="12">
        <v>3</v>
      </c>
      <c r="X17" s="7">
        <v>4</v>
      </c>
      <c r="Y17" s="7">
        <v>4</v>
      </c>
      <c r="Z17" s="13">
        <v>16</v>
      </c>
      <c r="AA17" s="13">
        <v>6</v>
      </c>
      <c r="AB17" s="13">
        <v>8</v>
      </c>
      <c r="AC17" s="7">
        <v>3</v>
      </c>
      <c r="AD17" s="7">
        <v>21</v>
      </c>
      <c r="AE17" s="7">
        <v>21</v>
      </c>
      <c r="AF17" s="8">
        <v>3</v>
      </c>
      <c r="AG17" s="12">
        <v>3</v>
      </c>
      <c r="AH17" s="9">
        <f t="shared" si="0"/>
        <v>178</v>
      </c>
      <c r="AI17" s="10">
        <f t="shared" si="1"/>
        <v>130</v>
      </c>
      <c r="AJ17" s="14">
        <f t="shared" si="2"/>
        <v>73.033707865168537</v>
      </c>
      <c r="AK17" s="15"/>
      <c r="AL17" s="15"/>
      <c r="AM17" s="15"/>
      <c r="AN17" s="15"/>
      <c r="AO17" s="15"/>
    </row>
    <row r="18" spans="1:41" ht="15.75" customHeight="1">
      <c r="A18" s="3">
        <v>14</v>
      </c>
      <c r="B18" s="4" t="s">
        <v>51</v>
      </c>
      <c r="C18" s="5" t="s">
        <v>52</v>
      </c>
      <c r="D18" s="6">
        <v>14</v>
      </c>
      <c r="E18" s="7">
        <v>10</v>
      </c>
      <c r="F18" s="8">
        <v>17</v>
      </c>
      <c r="G18" s="6">
        <v>14</v>
      </c>
      <c r="H18" s="9">
        <v>13</v>
      </c>
      <c r="I18" s="10">
        <v>9</v>
      </c>
      <c r="J18" s="6">
        <v>16</v>
      </c>
      <c r="K18" s="7">
        <v>12</v>
      </c>
      <c r="L18" s="11">
        <v>16</v>
      </c>
      <c r="M18" s="6">
        <v>12</v>
      </c>
      <c r="N18" s="12">
        <v>17</v>
      </c>
      <c r="O18" s="12">
        <v>13</v>
      </c>
      <c r="P18" s="6">
        <v>15</v>
      </c>
      <c r="Q18" s="6">
        <v>12</v>
      </c>
      <c r="R18" s="12">
        <v>8</v>
      </c>
      <c r="S18" s="12">
        <v>8</v>
      </c>
      <c r="T18" s="6">
        <v>6</v>
      </c>
      <c r="U18" s="7">
        <v>6</v>
      </c>
      <c r="V18" s="12">
        <v>4</v>
      </c>
      <c r="W18" s="12">
        <v>4</v>
      </c>
      <c r="X18" s="7">
        <v>4</v>
      </c>
      <c r="Y18" s="7">
        <v>4</v>
      </c>
      <c r="Z18" s="13">
        <v>16</v>
      </c>
      <c r="AA18" s="13">
        <v>12</v>
      </c>
      <c r="AB18" s="13">
        <v>8</v>
      </c>
      <c r="AC18" s="7">
        <v>6</v>
      </c>
      <c r="AD18" s="7">
        <v>21</v>
      </c>
      <c r="AE18" s="7">
        <v>19</v>
      </c>
      <c r="AF18" s="8">
        <v>3</v>
      </c>
      <c r="AG18" s="12">
        <v>2</v>
      </c>
      <c r="AH18" s="9">
        <f t="shared" si="0"/>
        <v>178</v>
      </c>
      <c r="AI18" s="10">
        <f t="shared" si="1"/>
        <v>143</v>
      </c>
      <c r="AJ18" s="14">
        <f t="shared" si="2"/>
        <v>80.337078651685388</v>
      </c>
      <c r="AK18" s="15"/>
      <c r="AL18" s="15"/>
      <c r="AM18" s="15"/>
      <c r="AN18" s="15"/>
      <c r="AO18" s="15"/>
    </row>
    <row r="19" spans="1:41" ht="15.75" customHeight="1">
      <c r="A19" s="3">
        <v>15</v>
      </c>
      <c r="B19" s="4" t="s">
        <v>53</v>
      </c>
      <c r="C19" s="5" t="s">
        <v>54</v>
      </c>
      <c r="D19" s="6">
        <v>14</v>
      </c>
      <c r="E19" s="7">
        <v>11</v>
      </c>
      <c r="F19" s="8">
        <v>17</v>
      </c>
      <c r="G19" s="6">
        <v>8</v>
      </c>
      <c r="H19" s="9">
        <v>13</v>
      </c>
      <c r="I19" s="10">
        <v>11</v>
      </c>
      <c r="J19" s="6">
        <v>16</v>
      </c>
      <c r="K19" s="7">
        <v>13</v>
      </c>
      <c r="L19" s="11">
        <v>16</v>
      </c>
      <c r="M19" s="6">
        <v>14</v>
      </c>
      <c r="N19" s="12">
        <v>17</v>
      </c>
      <c r="O19" s="12">
        <v>13</v>
      </c>
      <c r="P19" s="6">
        <v>15</v>
      </c>
      <c r="Q19" s="6">
        <v>12</v>
      </c>
      <c r="R19" s="12">
        <v>8</v>
      </c>
      <c r="S19" s="12">
        <v>8</v>
      </c>
      <c r="T19" s="6">
        <v>6</v>
      </c>
      <c r="U19" s="7">
        <v>6</v>
      </c>
      <c r="V19" s="12">
        <v>4</v>
      </c>
      <c r="W19" s="12">
        <v>4</v>
      </c>
      <c r="X19" s="7">
        <v>4</v>
      </c>
      <c r="Y19" s="7">
        <v>3</v>
      </c>
      <c r="Z19" s="13">
        <v>16</v>
      </c>
      <c r="AA19" s="13">
        <v>4</v>
      </c>
      <c r="AB19" s="13">
        <v>8</v>
      </c>
      <c r="AC19" s="7">
        <v>2</v>
      </c>
      <c r="AD19" s="7">
        <v>21</v>
      </c>
      <c r="AE19" s="7">
        <v>10</v>
      </c>
      <c r="AF19" s="8">
        <v>3</v>
      </c>
      <c r="AG19" s="12">
        <v>2</v>
      </c>
      <c r="AH19" s="9">
        <f t="shared" si="0"/>
        <v>178</v>
      </c>
      <c r="AI19" s="10">
        <f t="shared" si="1"/>
        <v>121</v>
      </c>
      <c r="AJ19" s="14">
        <f t="shared" si="2"/>
        <v>67.977528089887642</v>
      </c>
      <c r="AK19" s="15"/>
      <c r="AL19" s="15"/>
      <c r="AM19" s="15"/>
      <c r="AN19" s="15"/>
      <c r="AO19" s="15"/>
    </row>
    <row r="20" spans="1:41" ht="15.75" customHeight="1">
      <c r="A20" s="3">
        <v>16</v>
      </c>
      <c r="B20" s="4" t="s">
        <v>55</v>
      </c>
      <c r="C20" s="5" t="s">
        <v>56</v>
      </c>
      <c r="D20" s="6">
        <v>14</v>
      </c>
      <c r="E20" s="7">
        <v>11</v>
      </c>
      <c r="F20" s="8">
        <v>17</v>
      </c>
      <c r="G20" s="6">
        <v>15</v>
      </c>
      <c r="H20" s="9">
        <v>13</v>
      </c>
      <c r="I20" s="10">
        <v>11</v>
      </c>
      <c r="J20" s="6">
        <v>16</v>
      </c>
      <c r="K20" s="7">
        <v>15</v>
      </c>
      <c r="L20" s="11">
        <v>16</v>
      </c>
      <c r="M20" s="6">
        <v>13</v>
      </c>
      <c r="N20" s="12">
        <v>17</v>
      </c>
      <c r="O20" s="12">
        <v>13</v>
      </c>
      <c r="P20" s="6">
        <v>15</v>
      </c>
      <c r="Q20" s="6">
        <v>12</v>
      </c>
      <c r="R20" s="12">
        <v>8</v>
      </c>
      <c r="S20" s="12">
        <v>6</v>
      </c>
      <c r="T20" s="6">
        <v>6</v>
      </c>
      <c r="U20" s="7">
        <v>3</v>
      </c>
      <c r="V20" s="12">
        <v>4</v>
      </c>
      <c r="W20" s="12">
        <v>3</v>
      </c>
      <c r="X20" s="7">
        <v>4</v>
      </c>
      <c r="Y20" s="7">
        <v>2</v>
      </c>
      <c r="Z20" s="13">
        <v>16</v>
      </c>
      <c r="AA20" s="13">
        <v>12</v>
      </c>
      <c r="AB20" s="13">
        <v>8</v>
      </c>
      <c r="AC20" s="7">
        <v>6</v>
      </c>
      <c r="AD20" s="7">
        <v>21</v>
      </c>
      <c r="AE20" s="7">
        <v>21</v>
      </c>
      <c r="AF20" s="8">
        <v>3</v>
      </c>
      <c r="AG20" s="12">
        <v>3</v>
      </c>
      <c r="AH20" s="9">
        <f t="shared" si="0"/>
        <v>178</v>
      </c>
      <c r="AI20" s="10">
        <f t="shared" si="1"/>
        <v>146</v>
      </c>
      <c r="AJ20" s="14">
        <f t="shared" si="2"/>
        <v>82.022471910112358</v>
      </c>
      <c r="AK20" s="15"/>
      <c r="AL20" s="15"/>
      <c r="AM20" s="15"/>
      <c r="AN20" s="15"/>
      <c r="AO20" s="15"/>
    </row>
    <row r="21" spans="1:41" ht="15.75" customHeight="1">
      <c r="A21" s="3">
        <v>17</v>
      </c>
      <c r="B21" s="4" t="s">
        <v>57</v>
      </c>
      <c r="C21" s="5" t="s">
        <v>58</v>
      </c>
      <c r="D21" s="6">
        <v>14</v>
      </c>
      <c r="E21" s="7">
        <v>9</v>
      </c>
      <c r="F21" s="8">
        <v>17</v>
      </c>
      <c r="G21" s="6">
        <v>12</v>
      </c>
      <c r="H21" s="9">
        <v>13</v>
      </c>
      <c r="I21" s="10">
        <v>9</v>
      </c>
      <c r="J21" s="6">
        <v>16</v>
      </c>
      <c r="K21" s="7">
        <v>12</v>
      </c>
      <c r="L21" s="11">
        <v>16</v>
      </c>
      <c r="M21" s="6">
        <v>11</v>
      </c>
      <c r="N21" s="12">
        <v>17</v>
      </c>
      <c r="O21" s="12">
        <v>11</v>
      </c>
      <c r="P21" s="6">
        <v>15</v>
      </c>
      <c r="Q21" s="6">
        <v>9</v>
      </c>
      <c r="R21" s="12">
        <v>8</v>
      </c>
      <c r="S21" s="12">
        <v>6</v>
      </c>
      <c r="T21" s="6">
        <v>6</v>
      </c>
      <c r="U21" s="7">
        <v>3</v>
      </c>
      <c r="V21" s="12">
        <v>4</v>
      </c>
      <c r="W21" s="12">
        <v>3</v>
      </c>
      <c r="X21" s="7">
        <v>4</v>
      </c>
      <c r="Y21" s="7">
        <v>2</v>
      </c>
      <c r="Z21" s="13">
        <v>16</v>
      </c>
      <c r="AA21" s="13">
        <v>8</v>
      </c>
      <c r="AB21" s="13">
        <v>8</v>
      </c>
      <c r="AC21" s="7">
        <v>4</v>
      </c>
      <c r="AD21" s="7">
        <v>21</v>
      </c>
      <c r="AE21" s="7">
        <v>18</v>
      </c>
      <c r="AF21" s="8">
        <v>3</v>
      </c>
      <c r="AG21" s="12">
        <v>2</v>
      </c>
      <c r="AH21" s="9">
        <f t="shared" si="0"/>
        <v>178</v>
      </c>
      <c r="AI21" s="10">
        <f t="shared" si="1"/>
        <v>119</v>
      </c>
      <c r="AJ21" s="14">
        <f t="shared" si="2"/>
        <v>66.853932584269657</v>
      </c>
      <c r="AK21" s="15"/>
      <c r="AL21" s="15"/>
      <c r="AM21" s="15"/>
      <c r="AN21" s="15"/>
      <c r="AO21" s="15"/>
    </row>
    <row r="22" spans="1:41" ht="15.75" customHeight="1">
      <c r="A22" s="3">
        <v>18</v>
      </c>
      <c r="B22" s="4" t="s">
        <v>59</v>
      </c>
      <c r="C22" s="5" t="s">
        <v>60</v>
      </c>
      <c r="D22" s="6">
        <v>14</v>
      </c>
      <c r="E22" s="7">
        <v>13</v>
      </c>
      <c r="F22" s="8">
        <v>17</v>
      </c>
      <c r="G22" s="6">
        <v>15</v>
      </c>
      <c r="H22" s="9">
        <v>13</v>
      </c>
      <c r="I22" s="10">
        <v>12</v>
      </c>
      <c r="J22" s="6">
        <v>16</v>
      </c>
      <c r="K22" s="7">
        <v>16</v>
      </c>
      <c r="L22" s="11">
        <v>16</v>
      </c>
      <c r="M22" s="6">
        <v>15</v>
      </c>
      <c r="N22" s="12">
        <v>17</v>
      </c>
      <c r="O22" s="12">
        <v>15</v>
      </c>
      <c r="P22" s="6">
        <v>15</v>
      </c>
      <c r="Q22" s="6">
        <v>15</v>
      </c>
      <c r="R22" s="12">
        <v>8</v>
      </c>
      <c r="S22" s="12">
        <v>8</v>
      </c>
      <c r="T22" s="6">
        <v>6</v>
      </c>
      <c r="U22" s="7">
        <v>3</v>
      </c>
      <c r="V22" s="12">
        <v>4</v>
      </c>
      <c r="W22" s="12">
        <v>4</v>
      </c>
      <c r="X22" s="7">
        <v>4</v>
      </c>
      <c r="Y22" s="7">
        <v>2</v>
      </c>
      <c r="Z22" s="13">
        <v>16</v>
      </c>
      <c r="AA22" s="13">
        <v>12</v>
      </c>
      <c r="AB22" s="13">
        <v>8</v>
      </c>
      <c r="AC22" s="7">
        <v>6</v>
      </c>
      <c r="AD22" s="7">
        <v>21</v>
      </c>
      <c r="AE22" s="7">
        <v>21</v>
      </c>
      <c r="AF22" s="8">
        <v>3</v>
      </c>
      <c r="AG22" s="12">
        <v>3</v>
      </c>
      <c r="AH22" s="9">
        <f t="shared" si="0"/>
        <v>178</v>
      </c>
      <c r="AI22" s="10">
        <f t="shared" si="1"/>
        <v>160</v>
      </c>
      <c r="AJ22" s="14">
        <f t="shared" si="2"/>
        <v>89.887640449438194</v>
      </c>
      <c r="AK22" s="15"/>
      <c r="AL22" s="15"/>
      <c r="AM22" s="15"/>
      <c r="AN22" s="15"/>
      <c r="AO22" s="15"/>
    </row>
    <row r="23" spans="1:41" ht="15.75" customHeight="1">
      <c r="A23" s="3">
        <v>19</v>
      </c>
      <c r="B23" s="4" t="s">
        <v>61</v>
      </c>
      <c r="C23" s="5" t="s">
        <v>62</v>
      </c>
      <c r="D23" s="6">
        <v>14</v>
      </c>
      <c r="E23" s="7">
        <v>13</v>
      </c>
      <c r="F23" s="8">
        <v>17</v>
      </c>
      <c r="G23" s="6">
        <v>15</v>
      </c>
      <c r="H23" s="9">
        <v>13</v>
      </c>
      <c r="I23" s="10">
        <v>13</v>
      </c>
      <c r="J23" s="6">
        <v>16</v>
      </c>
      <c r="K23" s="7">
        <v>13</v>
      </c>
      <c r="L23" s="11">
        <v>16</v>
      </c>
      <c r="M23" s="6">
        <v>15</v>
      </c>
      <c r="N23" s="12">
        <v>17</v>
      </c>
      <c r="O23" s="12">
        <v>14</v>
      </c>
      <c r="P23" s="6">
        <v>15</v>
      </c>
      <c r="Q23" s="6">
        <v>15</v>
      </c>
      <c r="R23" s="12">
        <v>8</v>
      </c>
      <c r="S23" s="12">
        <v>8</v>
      </c>
      <c r="T23" s="6">
        <v>6</v>
      </c>
      <c r="U23" s="7">
        <v>3</v>
      </c>
      <c r="V23" s="12">
        <v>4</v>
      </c>
      <c r="W23" s="12">
        <v>4</v>
      </c>
      <c r="X23" s="7">
        <v>4</v>
      </c>
      <c r="Y23" s="7">
        <v>4</v>
      </c>
      <c r="Z23" s="13">
        <v>16</v>
      </c>
      <c r="AA23" s="13">
        <v>12</v>
      </c>
      <c r="AB23" s="13">
        <v>8</v>
      </c>
      <c r="AC23" s="7">
        <v>6</v>
      </c>
      <c r="AD23" s="7">
        <v>21</v>
      </c>
      <c r="AE23" s="7">
        <v>21</v>
      </c>
      <c r="AF23" s="8">
        <v>3</v>
      </c>
      <c r="AG23" s="12">
        <v>3</v>
      </c>
      <c r="AH23" s="9">
        <f t="shared" si="0"/>
        <v>178</v>
      </c>
      <c r="AI23" s="10">
        <f t="shared" si="1"/>
        <v>159</v>
      </c>
      <c r="AJ23" s="14">
        <f t="shared" si="2"/>
        <v>89.325842696629209</v>
      </c>
      <c r="AK23" s="15"/>
      <c r="AL23" s="15"/>
      <c r="AM23" s="15"/>
      <c r="AN23" s="15"/>
      <c r="AO23" s="15"/>
    </row>
    <row r="24" spans="1:41" ht="15.75" customHeight="1">
      <c r="A24" s="3">
        <v>20</v>
      </c>
      <c r="B24" s="4" t="s">
        <v>63</v>
      </c>
      <c r="C24" s="5" t="s">
        <v>64</v>
      </c>
      <c r="D24" s="6">
        <v>14</v>
      </c>
      <c r="E24" s="7">
        <v>11</v>
      </c>
      <c r="F24" s="8">
        <v>17</v>
      </c>
      <c r="G24" s="6">
        <v>15</v>
      </c>
      <c r="H24" s="9">
        <v>13</v>
      </c>
      <c r="I24" s="10">
        <v>12</v>
      </c>
      <c r="J24" s="6">
        <v>16</v>
      </c>
      <c r="K24" s="7">
        <v>14</v>
      </c>
      <c r="L24" s="11">
        <v>16</v>
      </c>
      <c r="M24" s="6">
        <v>13</v>
      </c>
      <c r="N24" s="12">
        <v>17</v>
      </c>
      <c r="O24" s="12">
        <v>13</v>
      </c>
      <c r="P24" s="6">
        <v>15</v>
      </c>
      <c r="Q24" s="6">
        <v>12</v>
      </c>
      <c r="R24" s="12">
        <v>8</v>
      </c>
      <c r="S24" s="12">
        <v>8</v>
      </c>
      <c r="T24" s="6">
        <v>6</v>
      </c>
      <c r="U24" s="7">
        <v>3</v>
      </c>
      <c r="V24" s="12">
        <v>4</v>
      </c>
      <c r="W24" s="12">
        <v>4</v>
      </c>
      <c r="X24" s="7">
        <v>4</v>
      </c>
      <c r="Y24" s="7">
        <v>2</v>
      </c>
      <c r="Z24" s="13">
        <v>16</v>
      </c>
      <c r="AA24" s="13">
        <v>12</v>
      </c>
      <c r="AB24" s="13">
        <v>8</v>
      </c>
      <c r="AC24" s="7">
        <v>6</v>
      </c>
      <c r="AD24" s="7">
        <v>21</v>
      </c>
      <c r="AE24" s="7">
        <v>21</v>
      </c>
      <c r="AF24" s="8">
        <v>3</v>
      </c>
      <c r="AG24" s="12">
        <v>3</v>
      </c>
      <c r="AH24" s="9">
        <f t="shared" si="0"/>
        <v>178</v>
      </c>
      <c r="AI24" s="10">
        <f t="shared" si="1"/>
        <v>149</v>
      </c>
      <c r="AJ24" s="14">
        <f t="shared" si="2"/>
        <v>83.707865168539328</v>
      </c>
      <c r="AK24" s="15"/>
      <c r="AL24" s="15"/>
      <c r="AM24" s="15"/>
      <c r="AN24" s="15">
        <v>27</v>
      </c>
      <c r="AO24" s="15"/>
    </row>
    <row r="25" spans="1:41" ht="15.75" customHeight="1">
      <c r="A25" s="3">
        <v>21</v>
      </c>
      <c r="B25" s="4" t="s">
        <v>65</v>
      </c>
      <c r="C25" s="5" t="s">
        <v>66</v>
      </c>
      <c r="D25" s="6">
        <v>14</v>
      </c>
      <c r="E25" s="7">
        <v>13</v>
      </c>
      <c r="F25" s="8">
        <v>17</v>
      </c>
      <c r="G25" s="6">
        <v>16</v>
      </c>
      <c r="H25" s="9">
        <v>13</v>
      </c>
      <c r="I25" s="16">
        <v>13</v>
      </c>
      <c r="J25" s="6">
        <v>16</v>
      </c>
      <c r="K25" s="7">
        <v>15</v>
      </c>
      <c r="L25" s="11">
        <v>16</v>
      </c>
      <c r="M25" s="6">
        <v>16</v>
      </c>
      <c r="N25" s="12">
        <v>17</v>
      </c>
      <c r="O25" s="12">
        <v>17</v>
      </c>
      <c r="P25" s="6">
        <v>15</v>
      </c>
      <c r="Q25" s="6">
        <v>15</v>
      </c>
      <c r="R25" s="12">
        <v>8</v>
      </c>
      <c r="S25" s="12">
        <v>8</v>
      </c>
      <c r="T25" s="6">
        <v>6</v>
      </c>
      <c r="U25" s="7">
        <v>6</v>
      </c>
      <c r="V25" s="12">
        <v>4</v>
      </c>
      <c r="W25" s="12">
        <v>4</v>
      </c>
      <c r="X25" s="7">
        <v>4</v>
      </c>
      <c r="Y25" s="7">
        <v>3</v>
      </c>
      <c r="Z25" s="13">
        <v>16</v>
      </c>
      <c r="AA25" s="13">
        <v>14</v>
      </c>
      <c r="AB25" s="13">
        <v>8</v>
      </c>
      <c r="AC25" s="7">
        <v>7</v>
      </c>
      <c r="AD25" s="7">
        <v>21</v>
      </c>
      <c r="AE25" s="7">
        <v>21</v>
      </c>
      <c r="AF25" s="8">
        <v>3</v>
      </c>
      <c r="AG25" s="12">
        <v>3</v>
      </c>
      <c r="AH25" s="9">
        <f t="shared" si="0"/>
        <v>178</v>
      </c>
      <c r="AI25" s="10">
        <f t="shared" si="1"/>
        <v>171</v>
      </c>
      <c r="AJ25" s="14">
        <f t="shared" si="2"/>
        <v>96.067415730337075</v>
      </c>
      <c r="AK25" s="15"/>
      <c r="AL25" s="15"/>
      <c r="AM25" s="15"/>
      <c r="AN25" s="15"/>
      <c r="AO25" s="15"/>
    </row>
    <row r="26" spans="1:41" ht="15.75" customHeight="1">
      <c r="A26" s="3">
        <v>22</v>
      </c>
      <c r="B26" s="4" t="s">
        <v>67</v>
      </c>
      <c r="C26" s="5" t="s">
        <v>68</v>
      </c>
      <c r="D26" s="6">
        <v>14</v>
      </c>
      <c r="E26" s="7">
        <v>13</v>
      </c>
      <c r="F26" s="8">
        <v>17</v>
      </c>
      <c r="G26" s="6">
        <v>16</v>
      </c>
      <c r="H26" s="9">
        <v>13</v>
      </c>
      <c r="I26" s="10">
        <v>12</v>
      </c>
      <c r="J26" s="6">
        <v>16</v>
      </c>
      <c r="K26" s="7">
        <v>16</v>
      </c>
      <c r="L26" s="11">
        <v>16</v>
      </c>
      <c r="M26" s="6">
        <v>15</v>
      </c>
      <c r="N26" s="12">
        <v>17</v>
      </c>
      <c r="O26" s="12">
        <v>16</v>
      </c>
      <c r="P26" s="6">
        <v>15</v>
      </c>
      <c r="Q26" s="6">
        <v>15</v>
      </c>
      <c r="R26" s="12">
        <v>8</v>
      </c>
      <c r="S26" s="12">
        <v>8</v>
      </c>
      <c r="T26" s="6">
        <v>6</v>
      </c>
      <c r="U26" s="7">
        <v>6</v>
      </c>
      <c r="V26" s="12">
        <v>4</v>
      </c>
      <c r="W26" s="12">
        <v>4</v>
      </c>
      <c r="X26" s="7">
        <v>4</v>
      </c>
      <c r="Y26" s="7">
        <v>4</v>
      </c>
      <c r="Z26" s="13">
        <v>16</v>
      </c>
      <c r="AA26" s="13">
        <v>14</v>
      </c>
      <c r="AB26" s="13">
        <v>8</v>
      </c>
      <c r="AC26" s="7">
        <v>6</v>
      </c>
      <c r="AD26" s="7">
        <v>21</v>
      </c>
      <c r="AE26" s="7">
        <v>21</v>
      </c>
      <c r="AF26" s="8">
        <v>3</v>
      </c>
      <c r="AG26" s="12">
        <v>3</v>
      </c>
      <c r="AH26" s="9">
        <f t="shared" si="0"/>
        <v>178</v>
      </c>
      <c r="AI26" s="10">
        <f t="shared" si="1"/>
        <v>169</v>
      </c>
      <c r="AJ26" s="14">
        <f t="shared" si="2"/>
        <v>94.943820224719104</v>
      </c>
      <c r="AK26" s="15"/>
      <c r="AL26" s="15"/>
      <c r="AM26" s="15"/>
      <c r="AN26" s="15"/>
      <c r="AO26" s="15"/>
    </row>
    <row r="27" spans="1:41" ht="15.75" customHeight="1">
      <c r="A27" s="3">
        <v>23</v>
      </c>
      <c r="B27" s="4" t="s">
        <v>69</v>
      </c>
      <c r="C27" s="5" t="s">
        <v>70</v>
      </c>
      <c r="D27" s="6">
        <v>14</v>
      </c>
      <c r="E27" s="7">
        <v>11</v>
      </c>
      <c r="F27" s="8">
        <v>17</v>
      </c>
      <c r="G27" s="6">
        <v>12</v>
      </c>
      <c r="H27" s="9">
        <v>13</v>
      </c>
      <c r="I27" s="10">
        <v>11</v>
      </c>
      <c r="J27" s="6">
        <v>16</v>
      </c>
      <c r="K27" s="7">
        <v>13</v>
      </c>
      <c r="L27" s="11">
        <v>16</v>
      </c>
      <c r="M27" s="6">
        <v>14</v>
      </c>
      <c r="N27" s="12">
        <v>17</v>
      </c>
      <c r="O27" s="12">
        <v>14</v>
      </c>
      <c r="P27" s="6">
        <v>9</v>
      </c>
      <c r="Q27" s="6">
        <v>9</v>
      </c>
      <c r="R27" s="12">
        <v>10</v>
      </c>
      <c r="S27" s="12">
        <v>10</v>
      </c>
      <c r="T27" s="6">
        <v>9</v>
      </c>
      <c r="U27" s="7">
        <v>6</v>
      </c>
      <c r="V27" s="12">
        <v>5</v>
      </c>
      <c r="W27" s="12">
        <v>5</v>
      </c>
      <c r="X27" s="7">
        <v>4</v>
      </c>
      <c r="Y27" s="7">
        <v>3</v>
      </c>
      <c r="Z27" s="13">
        <v>16</v>
      </c>
      <c r="AA27" s="13">
        <v>10</v>
      </c>
      <c r="AB27" s="13">
        <v>8</v>
      </c>
      <c r="AC27" s="7">
        <v>5</v>
      </c>
      <c r="AD27" s="7">
        <v>21</v>
      </c>
      <c r="AE27" s="7">
        <v>16</v>
      </c>
      <c r="AF27" s="8">
        <v>3</v>
      </c>
      <c r="AG27" s="12">
        <v>2</v>
      </c>
      <c r="AH27" s="9">
        <f t="shared" si="0"/>
        <v>178</v>
      </c>
      <c r="AI27" s="10">
        <f t="shared" si="1"/>
        <v>141</v>
      </c>
      <c r="AJ27" s="14">
        <f t="shared" si="2"/>
        <v>79.213483146067418</v>
      </c>
      <c r="AK27" s="15"/>
      <c r="AL27" s="15"/>
      <c r="AM27" s="15"/>
      <c r="AN27" s="15"/>
      <c r="AO27" s="15"/>
    </row>
    <row r="28" spans="1:41" ht="15.75" customHeight="1">
      <c r="A28" s="3">
        <v>24</v>
      </c>
      <c r="B28" s="4" t="s">
        <v>71</v>
      </c>
      <c r="C28" s="5" t="s">
        <v>72</v>
      </c>
      <c r="D28" s="6">
        <v>14</v>
      </c>
      <c r="E28" s="7">
        <v>11</v>
      </c>
      <c r="F28" s="8">
        <v>17</v>
      </c>
      <c r="G28" s="6">
        <v>13</v>
      </c>
      <c r="H28" s="9">
        <v>13</v>
      </c>
      <c r="I28" s="10">
        <v>10</v>
      </c>
      <c r="J28" s="6">
        <v>16</v>
      </c>
      <c r="K28" s="7">
        <v>16</v>
      </c>
      <c r="L28" s="11">
        <v>16</v>
      </c>
      <c r="M28" s="6">
        <v>13</v>
      </c>
      <c r="N28" s="12">
        <v>17</v>
      </c>
      <c r="O28" s="12">
        <v>13</v>
      </c>
      <c r="P28" s="6">
        <v>9</v>
      </c>
      <c r="Q28" s="6">
        <v>9</v>
      </c>
      <c r="R28" s="12">
        <v>10</v>
      </c>
      <c r="S28" s="12">
        <v>8</v>
      </c>
      <c r="T28" s="6">
        <v>9</v>
      </c>
      <c r="U28" s="7">
        <v>6</v>
      </c>
      <c r="V28" s="12">
        <v>5</v>
      </c>
      <c r="W28" s="12">
        <v>4</v>
      </c>
      <c r="X28" s="7">
        <v>4</v>
      </c>
      <c r="Y28" s="7">
        <v>4</v>
      </c>
      <c r="Z28" s="13">
        <v>16</v>
      </c>
      <c r="AA28" s="13">
        <v>14</v>
      </c>
      <c r="AB28" s="13">
        <v>8</v>
      </c>
      <c r="AC28" s="7">
        <v>7</v>
      </c>
      <c r="AD28" s="7">
        <v>21</v>
      </c>
      <c r="AE28" s="7">
        <v>18</v>
      </c>
      <c r="AF28" s="8">
        <v>3</v>
      </c>
      <c r="AG28" s="12">
        <v>3</v>
      </c>
      <c r="AH28" s="9">
        <f t="shared" si="0"/>
        <v>178</v>
      </c>
      <c r="AI28" s="10">
        <f t="shared" si="1"/>
        <v>149</v>
      </c>
      <c r="AJ28" s="14">
        <f t="shared" si="2"/>
        <v>83.707865168539328</v>
      </c>
      <c r="AK28" s="15"/>
      <c r="AL28" s="15"/>
      <c r="AM28" s="15"/>
      <c r="AN28" s="15"/>
      <c r="AO28" s="15"/>
    </row>
    <row r="29" spans="1:41" ht="15.75" customHeight="1">
      <c r="A29" s="3">
        <v>25</v>
      </c>
      <c r="B29" s="4" t="s">
        <v>73</v>
      </c>
      <c r="C29" s="17" t="s">
        <v>74</v>
      </c>
      <c r="D29" s="6">
        <v>14</v>
      </c>
      <c r="E29" s="7">
        <v>13</v>
      </c>
      <c r="F29" s="8">
        <v>17</v>
      </c>
      <c r="G29" s="6">
        <v>16</v>
      </c>
      <c r="H29" s="9">
        <v>13</v>
      </c>
      <c r="I29" s="10">
        <v>12</v>
      </c>
      <c r="J29" s="6">
        <v>16</v>
      </c>
      <c r="K29" s="7">
        <v>15</v>
      </c>
      <c r="L29" s="11">
        <v>16</v>
      </c>
      <c r="M29" s="6">
        <v>16</v>
      </c>
      <c r="N29" s="12">
        <v>17</v>
      </c>
      <c r="O29" s="12">
        <v>17</v>
      </c>
      <c r="P29" s="6">
        <v>9</v>
      </c>
      <c r="Q29" s="6">
        <v>9</v>
      </c>
      <c r="R29" s="12">
        <v>10</v>
      </c>
      <c r="S29" s="12">
        <v>10</v>
      </c>
      <c r="T29" s="6">
        <v>9</v>
      </c>
      <c r="U29" s="7">
        <v>9</v>
      </c>
      <c r="V29" s="12">
        <v>5</v>
      </c>
      <c r="W29" s="12">
        <v>4</v>
      </c>
      <c r="X29" s="7">
        <v>4</v>
      </c>
      <c r="Y29" s="7">
        <v>4</v>
      </c>
      <c r="Z29" s="13">
        <v>16</v>
      </c>
      <c r="AA29" s="13">
        <v>10</v>
      </c>
      <c r="AB29" s="13">
        <v>8</v>
      </c>
      <c r="AC29" s="7">
        <v>4</v>
      </c>
      <c r="AD29" s="7">
        <v>21</v>
      </c>
      <c r="AE29" s="7">
        <v>21</v>
      </c>
      <c r="AF29" s="8">
        <v>3</v>
      </c>
      <c r="AG29" s="12">
        <v>3</v>
      </c>
      <c r="AH29" s="9">
        <f t="shared" si="0"/>
        <v>178</v>
      </c>
      <c r="AI29" s="10">
        <f t="shared" si="1"/>
        <v>163</v>
      </c>
      <c r="AJ29" s="14">
        <f t="shared" si="2"/>
        <v>91.573033707865164</v>
      </c>
      <c r="AK29" s="15"/>
      <c r="AL29" s="15"/>
      <c r="AM29" s="15"/>
      <c r="AN29" s="15"/>
      <c r="AO29" s="15"/>
    </row>
    <row r="30" spans="1:41" ht="15.75" customHeight="1">
      <c r="A30" s="3">
        <v>26</v>
      </c>
      <c r="B30" s="4" t="s">
        <v>75</v>
      </c>
      <c r="C30" s="17" t="s">
        <v>76</v>
      </c>
      <c r="D30" s="6">
        <v>14</v>
      </c>
      <c r="E30" s="7">
        <v>12</v>
      </c>
      <c r="F30" s="8">
        <v>17</v>
      </c>
      <c r="G30" s="6">
        <v>13</v>
      </c>
      <c r="H30" s="9">
        <v>13</v>
      </c>
      <c r="I30" s="10">
        <v>10</v>
      </c>
      <c r="J30" s="6">
        <v>16</v>
      </c>
      <c r="K30" s="7">
        <v>13</v>
      </c>
      <c r="L30" s="11">
        <v>16</v>
      </c>
      <c r="M30" s="6">
        <v>14</v>
      </c>
      <c r="N30" s="12">
        <v>17</v>
      </c>
      <c r="O30" s="12">
        <v>15</v>
      </c>
      <c r="P30" s="6">
        <v>9</v>
      </c>
      <c r="Q30" s="6">
        <v>9</v>
      </c>
      <c r="R30" s="12">
        <v>10</v>
      </c>
      <c r="S30" s="12">
        <v>8</v>
      </c>
      <c r="T30" s="6">
        <v>9</v>
      </c>
      <c r="U30" s="7">
        <v>6</v>
      </c>
      <c r="V30" s="12">
        <v>5</v>
      </c>
      <c r="W30" s="12">
        <v>5</v>
      </c>
      <c r="X30" s="7">
        <v>4</v>
      </c>
      <c r="Y30" s="7">
        <v>4</v>
      </c>
      <c r="Z30" s="13">
        <v>16</v>
      </c>
      <c r="AA30" s="13">
        <v>10</v>
      </c>
      <c r="AB30" s="13">
        <v>8</v>
      </c>
      <c r="AC30" s="7">
        <v>6</v>
      </c>
      <c r="AD30" s="7">
        <v>21</v>
      </c>
      <c r="AE30" s="7">
        <v>18</v>
      </c>
      <c r="AF30" s="8">
        <v>3</v>
      </c>
      <c r="AG30" s="12">
        <v>3</v>
      </c>
      <c r="AH30" s="9">
        <f t="shared" si="0"/>
        <v>178</v>
      </c>
      <c r="AI30" s="10">
        <f t="shared" si="1"/>
        <v>146</v>
      </c>
      <c r="AJ30" s="14">
        <f t="shared" si="2"/>
        <v>82.022471910112358</v>
      </c>
      <c r="AK30" s="15"/>
      <c r="AL30" s="15"/>
      <c r="AM30" s="15"/>
      <c r="AN30" s="15"/>
      <c r="AO30" s="15"/>
    </row>
    <row r="31" spans="1:41" ht="15.75" customHeight="1">
      <c r="A31" s="3">
        <v>27</v>
      </c>
      <c r="B31" s="4" t="s">
        <v>77</v>
      </c>
      <c r="C31" s="17" t="s">
        <v>78</v>
      </c>
      <c r="D31" s="6">
        <v>14</v>
      </c>
      <c r="E31" s="7">
        <v>13</v>
      </c>
      <c r="F31" s="8">
        <v>17</v>
      </c>
      <c r="G31" s="6">
        <v>16</v>
      </c>
      <c r="H31" s="9">
        <v>13</v>
      </c>
      <c r="I31" s="10">
        <v>12</v>
      </c>
      <c r="J31" s="6">
        <v>16</v>
      </c>
      <c r="K31" s="7">
        <v>15</v>
      </c>
      <c r="L31" s="11">
        <v>16</v>
      </c>
      <c r="M31" s="6">
        <v>15</v>
      </c>
      <c r="N31" s="12">
        <v>17</v>
      </c>
      <c r="O31" s="12">
        <v>16</v>
      </c>
      <c r="P31" s="6">
        <v>9</v>
      </c>
      <c r="Q31" s="6">
        <v>9</v>
      </c>
      <c r="R31" s="12">
        <v>10</v>
      </c>
      <c r="S31" s="12">
        <v>10</v>
      </c>
      <c r="T31" s="6">
        <v>9</v>
      </c>
      <c r="U31" s="7">
        <v>6</v>
      </c>
      <c r="V31" s="12">
        <v>5</v>
      </c>
      <c r="W31" s="12">
        <v>5</v>
      </c>
      <c r="X31" s="7">
        <v>4</v>
      </c>
      <c r="Y31" s="7">
        <v>2</v>
      </c>
      <c r="Z31" s="13">
        <v>16</v>
      </c>
      <c r="AA31" s="13">
        <v>14</v>
      </c>
      <c r="AB31" s="13">
        <v>8</v>
      </c>
      <c r="AC31" s="7">
        <v>7</v>
      </c>
      <c r="AD31" s="7">
        <v>21</v>
      </c>
      <c r="AE31" s="7">
        <v>21</v>
      </c>
      <c r="AF31" s="8">
        <v>3</v>
      </c>
      <c r="AG31" s="12">
        <v>3</v>
      </c>
      <c r="AH31" s="9">
        <f t="shared" si="0"/>
        <v>178</v>
      </c>
      <c r="AI31" s="10">
        <f t="shared" si="1"/>
        <v>164</v>
      </c>
      <c r="AJ31" s="14">
        <f t="shared" si="2"/>
        <v>92.134831460674164</v>
      </c>
      <c r="AK31" s="15"/>
      <c r="AL31" s="15"/>
      <c r="AM31" s="15"/>
      <c r="AN31" s="15"/>
      <c r="AO31" s="15"/>
    </row>
    <row r="32" spans="1:41" ht="15.75" customHeight="1">
      <c r="A32" s="3">
        <v>28</v>
      </c>
      <c r="B32" s="4" t="s">
        <v>79</v>
      </c>
      <c r="C32" s="17" t="s">
        <v>80</v>
      </c>
      <c r="D32" s="6">
        <v>14</v>
      </c>
      <c r="E32" s="7">
        <v>12</v>
      </c>
      <c r="F32" s="8">
        <v>17</v>
      </c>
      <c r="G32" s="6">
        <v>14</v>
      </c>
      <c r="H32" s="9">
        <v>13</v>
      </c>
      <c r="I32" s="10">
        <v>11</v>
      </c>
      <c r="J32" s="6">
        <v>16</v>
      </c>
      <c r="K32" s="7">
        <v>14</v>
      </c>
      <c r="L32" s="11">
        <v>16</v>
      </c>
      <c r="M32" s="6">
        <v>14</v>
      </c>
      <c r="N32" s="12">
        <v>17</v>
      </c>
      <c r="O32" s="12">
        <v>16</v>
      </c>
      <c r="P32" s="6">
        <v>9</v>
      </c>
      <c r="Q32" s="6">
        <v>9</v>
      </c>
      <c r="R32" s="12">
        <v>10</v>
      </c>
      <c r="S32" s="12">
        <v>8</v>
      </c>
      <c r="T32" s="6">
        <v>9</v>
      </c>
      <c r="U32" s="7">
        <v>9</v>
      </c>
      <c r="V32" s="12">
        <v>5</v>
      </c>
      <c r="W32" s="12">
        <v>5</v>
      </c>
      <c r="X32" s="7">
        <v>4</v>
      </c>
      <c r="Y32" s="7">
        <v>4</v>
      </c>
      <c r="Z32" s="13">
        <v>16</v>
      </c>
      <c r="AA32" s="13">
        <v>12</v>
      </c>
      <c r="AB32" s="13">
        <v>8</v>
      </c>
      <c r="AC32" s="7">
        <v>6</v>
      </c>
      <c r="AD32" s="7">
        <v>21</v>
      </c>
      <c r="AE32" s="7">
        <v>18</v>
      </c>
      <c r="AF32" s="8">
        <v>3</v>
      </c>
      <c r="AG32" s="12">
        <v>3</v>
      </c>
      <c r="AH32" s="9">
        <f t="shared" si="0"/>
        <v>178</v>
      </c>
      <c r="AI32" s="10">
        <f t="shared" si="1"/>
        <v>155</v>
      </c>
      <c r="AJ32" s="14">
        <f t="shared" si="2"/>
        <v>87.078651685393254</v>
      </c>
      <c r="AK32" s="15"/>
      <c r="AL32" s="15"/>
      <c r="AM32" s="15"/>
      <c r="AN32" s="15"/>
      <c r="AO32" s="15"/>
    </row>
    <row r="33" spans="1:41" ht="15.75" customHeight="1">
      <c r="A33" s="3">
        <v>29</v>
      </c>
      <c r="B33" s="4" t="s">
        <v>81</v>
      </c>
      <c r="C33" s="17" t="s">
        <v>82</v>
      </c>
      <c r="D33" s="6">
        <v>14</v>
      </c>
      <c r="E33" s="7">
        <v>12</v>
      </c>
      <c r="F33" s="8">
        <v>17</v>
      </c>
      <c r="G33" s="6">
        <v>15</v>
      </c>
      <c r="H33" s="9">
        <v>13</v>
      </c>
      <c r="I33" s="10">
        <v>12</v>
      </c>
      <c r="J33" s="6">
        <v>16</v>
      </c>
      <c r="K33" s="7">
        <v>15</v>
      </c>
      <c r="L33" s="11">
        <v>16</v>
      </c>
      <c r="M33" s="6">
        <v>15</v>
      </c>
      <c r="N33" s="12">
        <v>17</v>
      </c>
      <c r="O33" s="12">
        <v>16</v>
      </c>
      <c r="P33" s="6">
        <v>9</v>
      </c>
      <c r="Q33" s="6">
        <v>9</v>
      </c>
      <c r="R33" s="12">
        <v>10</v>
      </c>
      <c r="S33" s="12">
        <v>10</v>
      </c>
      <c r="T33" s="6">
        <v>9</v>
      </c>
      <c r="U33" s="7">
        <v>6</v>
      </c>
      <c r="V33" s="12">
        <v>5</v>
      </c>
      <c r="W33" s="12">
        <v>5</v>
      </c>
      <c r="X33" s="7">
        <v>4</v>
      </c>
      <c r="Y33" s="7">
        <v>4</v>
      </c>
      <c r="Z33" s="13">
        <v>16</v>
      </c>
      <c r="AA33" s="13">
        <v>12</v>
      </c>
      <c r="AB33" s="13">
        <v>8</v>
      </c>
      <c r="AC33" s="7">
        <v>6</v>
      </c>
      <c r="AD33" s="7">
        <v>21</v>
      </c>
      <c r="AE33" s="7">
        <v>21</v>
      </c>
      <c r="AF33" s="8">
        <v>3</v>
      </c>
      <c r="AG33" s="12">
        <v>3</v>
      </c>
      <c r="AH33" s="9">
        <f t="shared" si="0"/>
        <v>178</v>
      </c>
      <c r="AI33" s="10">
        <f t="shared" si="1"/>
        <v>161</v>
      </c>
      <c r="AJ33" s="14">
        <f t="shared" si="2"/>
        <v>90.449438202247194</v>
      </c>
      <c r="AK33" s="15"/>
      <c r="AL33" s="15"/>
      <c r="AM33" s="15"/>
      <c r="AN33" s="15"/>
      <c r="AO33" s="15"/>
    </row>
    <row r="34" spans="1:41" ht="15.75" customHeight="1">
      <c r="A34" s="3">
        <v>30</v>
      </c>
      <c r="B34" s="4" t="s">
        <v>83</v>
      </c>
      <c r="C34" s="17" t="s">
        <v>84</v>
      </c>
      <c r="D34" s="6">
        <v>14</v>
      </c>
      <c r="E34" s="7">
        <v>12</v>
      </c>
      <c r="F34" s="8">
        <v>17</v>
      </c>
      <c r="G34" s="6">
        <v>13</v>
      </c>
      <c r="H34" s="9">
        <v>13</v>
      </c>
      <c r="I34" s="10">
        <v>9</v>
      </c>
      <c r="J34" s="6">
        <v>16</v>
      </c>
      <c r="K34" s="7">
        <v>15</v>
      </c>
      <c r="L34" s="11">
        <v>16</v>
      </c>
      <c r="M34" s="6">
        <v>12</v>
      </c>
      <c r="N34" s="12">
        <v>17</v>
      </c>
      <c r="O34" s="12">
        <v>16</v>
      </c>
      <c r="P34" s="6">
        <v>9</v>
      </c>
      <c r="Q34" s="6">
        <v>9</v>
      </c>
      <c r="R34" s="12">
        <v>10</v>
      </c>
      <c r="S34" s="12">
        <v>10</v>
      </c>
      <c r="T34" s="6">
        <v>9</v>
      </c>
      <c r="U34" s="7">
        <v>9</v>
      </c>
      <c r="V34" s="12">
        <v>5</v>
      </c>
      <c r="W34" s="12">
        <v>5</v>
      </c>
      <c r="X34" s="7">
        <v>4</v>
      </c>
      <c r="Y34" s="7">
        <v>4</v>
      </c>
      <c r="Z34" s="13">
        <v>16</v>
      </c>
      <c r="AA34" s="13">
        <v>16</v>
      </c>
      <c r="AB34" s="13">
        <v>8</v>
      </c>
      <c r="AC34" s="7">
        <v>8</v>
      </c>
      <c r="AD34" s="7">
        <v>21</v>
      </c>
      <c r="AE34" s="7">
        <v>15</v>
      </c>
      <c r="AF34" s="8">
        <v>3</v>
      </c>
      <c r="AG34" s="12">
        <v>2</v>
      </c>
      <c r="AH34" s="9">
        <f t="shared" si="0"/>
        <v>178</v>
      </c>
      <c r="AI34" s="10">
        <f t="shared" si="1"/>
        <v>155</v>
      </c>
      <c r="AJ34" s="14">
        <f t="shared" si="2"/>
        <v>87.078651685393254</v>
      </c>
      <c r="AK34" s="15"/>
      <c r="AL34" s="15"/>
      <c r="AM34" s="15"/>
      <c r="AN34" s="15"/>
      <c r="AO34" s="15"/>
    </row>
    <row r="35" spans="1:41" ht="15.75" customHeight="1">
      <c r="A35" s="3">
        <v>31</v>
      </c>
      <c r="B35" s="4" t="s">
        <v>85</v>
      </c>
      <c r="C35" s="17" t="s">
        <v>86</v>
      </c>
      <c r="D35" s="6">
        <v>14</v>
      </c>
      <c r="E35" s="7">
        <v>12</v>
      </c>
      <c r="F35" s="8">
        <v>17</v>
      </c>
      <c r="G35" s="6">
        <v>13</v>
      </c>
      <c r="H35" s="9">
        <v>13</v>
      </c>
      <c r="I35" s="10">
        <v>11</v>
      </c>
      <c r="J35" s="6">
        <v>16</v>
      </c>
      <c r="K35" s="7">
        <v>13</v>
      </c>
      <c r="L35" s="11">
        <v>16</v>
      </c>
      <c r="M35" s="6">
        <v>15</v>
      </c>
      <c r="N35" s="12">
        <v>17</v>
      </c>
      <c r="O35" s="12">
        <v>15</v>
      </c>
      <c r="P35" s="6">
        <v>9</v>
      </c>
      <c r="Q35" s="6">
        <v>9</v>
      </c>
      <c r="R35" s="12">
        <v>10</v>
      </c>
      <c r="S35" s="12">
        <v>10</v>
      </c>
      <c r="T35" s="6">
        <v>9</v>
      </c>
      <c r="U35" s="7">
        <v>3</v>
      </c>
      <c r="V35" s="12">
        <v>5</v>
      </c>
      <c r="W35" s="12">
        <v>5</v>
      </c>
      <c r="X35" s="7">
        <v>4</v>
      </c>
      <c r="Y35" s="7">
        <v>3</v>
      </c>
      <c r="Z35" s="13">
        <v>16</v>
      </c>
      <c r="AA35" s="13">
        <v>8</v>
      </c>
      <c r="AB35" s="13">
        <v>8</v>
      </c>
      <c r="AC35" s="7">
        <v>4</v>
      </c>
      <c r="AD35" s="7">
        <v>21</v>
      </c>
      <c r="AE35" s="7">
        <v>21</v>
      </c>
      <c r="AF35" s="8">
        <v>3</v>
      </c>
      <c r="AG35" s="12">
        <v>3</v>
      </c>
      <c r="AH35" s="9">
        <f t="shared" si="0"/>
        <v>178</v>
      </c>
      <c r="AI35" s="10">
        <f t="shared" si="1"/>
        <v>145</v>
      </c>
      <c r="AJ35" s="14">
        <f t="shared" si="2"/>
        <v>81.460674157303373</v>
      </c>
      <c r="AK35" s="15"/>
      <c r="AL35" s="15"/>
      <c r="AM35" s="15"/>
      <c r="AN35" s="15"/>
      <c r="AO35" s="15"/>
    </row>
    <row r="36" spans="1:41" ht="15.75" customHeight="1">
      <c r="A36" s="3">
        <v>32</v>
      </c>
      <c r="B36" s="4" t="s">
        <v>87</v>
      </c>
      <c r="C36" s="17" t="s">
        <v>88</v>
      </c>
      <c r="D36" s="6">
        <v>14</v>
      </c>
      <c r="E36" s="7">
        <v>13</v>
      </c>
      <c r="F36" s="8">
        <v>17</v>
      </c>
      <c r="G36" s="6">
        <v>15</v>
      </c>
      <c r="H36" s="9">
        <v>13</v>
      </c>
      <c r="I36" s="10">
        <v>11</v>
      </c>
      <c r="J36" s="6">
        <v>16</v>
      </c>
      <c r="K36" s="7">
        <v>15</v>
      </c>
      <c r="L36" s="11">
        <v>16</v>
      </c>
      <c r="M36" s="6">
        <v>14</v>
      </c>
      <c r="N36" s="12">
        <v>17</v>
      </c>
      <c r="O36" s="12">
        <v>16</v>
      </c>
      <c r="P36" s="6">
        <v>9</v>
      </c>
      <c r="Q36" s="6">
        <v>9</v>
      </c>
      <c r="R36" s="12">
        <v>10</v>
      </c>
      <c r="S36" s="12">
        <v>10</v>
      </c>
      <c r="T36" s="6">
        <v>9</v>
      </c>
      <c r="U36" s="7">
        <v>9</v>
      </c>
      <c r="V36" s="12">
        <v>5</v>
      </c>
      <c r="W36" s="12">
        <v>5</v>
      </c>
      <c r="X36" s="7">
        <v>4</v>
      </c>
      <c r="Y36" s="7">
        <v>4</v>
      </c>
      <c r="Z36" s="13">
        <v>16</v>
      </c>
      <c r="AA36" s="13">
        <v>16</v>
      </c>
      <c r="AB36" s="13">
        <v>8</v>
      </c>
      <c r="AC36" s="7">
        <v>8</v>
      </c>
      <c r="AD36" s="7">
        <v>21</v>
      </c>
      <c r="AE36" s="7">
        <v>18</v>
      </c>
      <c r="AF36" s="8">
        <v>3</v>
      </c>
      <c r="AG36" s="12">
        <v>3</v>
      </c>
      <c r="AH36" s="9">
        <f t="shared" si="0"/>
        <v>178</v>
      </c>
      <c r="AI36" s="10">
        <f t="shared" si="1"/>
        <v>166</v>
      </c>
      <c r="AJ36" s="14">
        <f t="shared" si="2"/>
        <v>93.258426966292134</v>
      </c>
      <c r="AK36" s="15"/>
      <c r="AL36" s="15"/>
      <c r="AM36" s="15"/>
      <c r="AN36" s="15"/>
      <c r="AO36" s="15"/>
    </row>
    <row r="37" spans="1:41" ht="15.75" customHeight="1">
      <c r="A37" s="3">
        <v>33</v>
      </c>
      <c r="B37" s="4" t="s">
        <v>89</v>
      </c>
      <c r="C37" s="17" t="s">
        <v>90</v>
      </c>
      <c r="D37" s="6">
        <v>14</v>
      </c>
      <c r="E37" s="7">
        <v>13</v>
      </c>
      <c r="F37" s="8">
        <v>17</v>
      </c>
      <c r="G37" s="6">
        <v>13</v>
      </c>
      <c r="H37" s="9">
        <v>13</v>
      </c>
      <c r="I37" s="10">
        <v>11</v>
      </c>
      <c r="J37" s="6">
        <v>16</v>
      </c>
      <c r="K37" s="7">
        <v>14</v>
      </c>
      <c r="L37" s="11">
        <v>16</v>
      </c>
      <c r="M37" s="6">
        <v>14</v>
      </c>
      <c r="N37" s="12">
        <v>17</v>
      </c>
      <c r="O37" s="12">
        <v>15</v>
      </c>
      <c r="P37" s="6">
        <v>9</v>
      </c>
      <c r="Q37" s="6">
        <v>9</v>
      </c>
      <c r="R37" s="12">
        <v>10</v>
      </c>
      <c r="S37" s="12">
        <v>10</v>
      </c>
      <c r="T37" s="6">
        <v>9</v>
      </c>
      <c r="U37" s="7">
        <v>3</v>
      </c>
      <c r="V37" s="12">
        <v>5</v>
      </c>
      <c r="W37" s="12">
        <v>5</v>
      </c>
      <c r="X37" s="7">
        <v>4</v>
      </c>
      <c r="Y37" s="7">
        <v>3</v>
      </c>
      <c r="Z37" s="13">
        <v>16</v>
      </c>
      <c r="AA37" s="13">
        <v>8</v>
      </c>
      <c r="AB37" s="13">
        <v>8</v>
      </c>
      <c r="AC37" s="7">
        <v>4</v>
      </c>
      <c r="AD37" s="7">
        <v>21</v>
      </c>
      <c r="AE37" s="7">
        <v>18</v>
      </c>
      <c r="AF37" s="8">
        <v>3</v>
      </c>
      <c r="AG37" s="12">
        <v>3</v>
      </c>
      <c r="AH37" s="9">
        <f t="shared" si="0"/>
        <v>178</v>
      </c>
      <c r="AI37" s="10">
        <f t="shared" si="1"/>
        <v>143</v>
      </c>
      <c r="AJ37" s="14">
        <f t="shared" si="2"/>
        <v>80.337078651685388</v>
      </c>
      <c r="AK37" s="15"/>
      <c r="AL37" s="15"/>
      <c r="AM37" s="15"/>
      <c r="AN37" s="15"/>
      <c r="AO37" s="15"/>
    </row>
    <row r="38" spans="1:41" ht="15.75" customHeight="1">
      <c r="A38" s="3">
        <v>34</v>
      </c>
      <c r="B38" s="4" t="s">
        <v>91</v>
      </c>
      <c r="C38" s="17" t="s">
        <v>92</v>
      </c>
      <c r="D38" s="6">
        <v>14</v>
      </c>
      <c r="E38" s="7">
        <v>12</v>
      </c>
      <c r="F38" s="8">
        <v>17</v>
      </c>
      <c r="G38" s="6">
        <v>14</v>
      </c>
      <c r="H38" s="9">
        <v>13</v>
      </c>
      <c r="I38" s="10">
        <v>12</v>
      </c>
      <c r="J38" s="6">
        <v>16</v>
      </c>
      <c r="K38" s="7">
        <v>16</v>
      </c>
      <c r="L38" s="11">
        <v>16</v>
      </c>
      <c r="M38" s="6">
        <v>14</v>
      </c>
      <c r="N38" s="12">
        <v>17</v>
      </c>
      <c r="O38" s="12">
        <v>15</v>
      </c>
      <c r="P38" s="6">
        <v>9</v>
      </c>
      <c r="Q38" s="6">
        <v>9</v>
      </c>
      <c r="R38" s="12">
        <v>10</v>
      </c>
      <c r="S38" s="12">
        <v>10</v>
      </c>
      <c r="T38" s="6">
        <v>9</v>
      </c>
      <c r="U38" s="7">
        <v>6</v>
      </c>
      <c r="V38" s="12">
        <v>5</v>
      </c>
      <c r="W38" s="12">
        <v>5</v>
      </c>
      <c r="X38" s="7">
        <v>4</v>
      </c>
      <c r="Y38" s="7">
        <v>4</v>
      </c>
      <c r="Z38" s="13">
        <v>16</v>
      </c>
      <c r="AA38" s="13">
        <v>14</v>
      </c>
      <c r="AB38" s="13">
        <v>8</v>
      </c>
      <c r="AC38" s="7">
        <v>7</v>
      </c>
      <c r="AD38" s="7">
        <v>21</v>
      </c>
      <c r="AE38" s="7">
        <v>18</v>
      </c>
      <c r="AF38" s="8">
        <v>3</v>
      </c>
      <c r="AG38" s="12">
        <v>3</v>
      </c>
      <c r="AH38" s="9">
        <f t="shared" si="0"/>
        <v>178</v>
      </c>
      <c r="AI38" s="10">
        <f t="shared" si="1"/>
        <v>159</v>
      </c>
      <c r="AJ38" s="14">
        <f t="shared" si="2"/>
        <v>89.325842696629209</v>
      </c>
      <c r="AK38" s="15"/>
      <c r="AL38" s="15"/>
      <c r="AM38" s="15"/>
      <c r="AN38" s="15"/>
      <c r="AO38" s="15"/>
    </row>
    <row r="39" spans="1:41" ht="15.75" customHeight="1">
      <c r="A39" s="3">
        <v>35</v>
      </c>
      <c r="B39" s="4" t="s">
        <v>93</v>
      </c>
      <c r="C39" s="17" t="s">
        <v>94</v>
      </c>
      <c r="D39" s="6">
        <v>14</v>
      </c>
      <c r="E39" s="7">
        <v>11</v>
      </c>
      <c r="F39" s="8">
        <v>17</v>
      </c>
      <c r="G39" s="6">
        <v>11</v>
      </c>
      <c r="H39" s="9">
        <v>13</v>
      </c>
      <c r="I39" s="10">
        <v>13</v>
      </c>
      <c r="J39" s="6">
        <v>16</v>
      </c>
      <c r="K39" s="7">
        <v>13</v>
      </c>
      <c r="L39" s="11">
        <v>16</v>
      </c>
      <c r="M39" s="6">
        <v>13</v>
      </c>
      <c r="N39" s="12">
        <v>17</v>
      </c>
      <c r="O39" s="12">
        <v>13</v>
      </c>
      <c r="P39" s="6">
        <v>9</v>
      </c>
      <c r="Q39" s="6">
        <v>6</v>
      </c>
      <c r="R39" s="12">
        <v>10</v>
      </c>
      <c r="S39" s="12">
        <v>8</v>
      </c>
      <c r="T39" s="6">
        <v>9</v>
      </c>
      <c r="U39" s="7">
        <v>3</v>
      </c>
      <c r="V39" s="12">
        <v>5</v>
      </c>
      <c r="W39" s="12">
        <v>4</v>
      </c>
      <c r="X39" s="7">
        <v>4</v>
      </c>
      <c r="Y39" s="7">
        <v>4</v>
      </c>
      <c r="Z39" s="13">
        <v>16</v>
      </c>
      <c r="AA39" s="13">
        <v>12</v>
      </c>
      <c r="AB39" s="13">
        <v>8</v>
      </c>
      <c r="AC39" s="7">
        <v>6</v>
      </c>
      <c r="AD39" s="7">
        <v>21</v>
      </c>
      <c r="AE39" s="7">
        <v>15</v>
      </c>
      <c r="AF39" s="8">
        <v>3</v>
      </c>
      <c r="AG39" s="12">
        <v>3</v>
      </c>
      <c r="AH39" s="9">
        <f t="shared" si="0"/>
        <v>178</v>
      </c>
      <c r="AI39" s="10">
        <f t="shared" si="1"/>
        <v>135</v>
      </c>
      <c r="AJ39" s="14">
        <f t="shared" si="2"/>
        <v>75.842696629213478</v>
      </c>
      <c r="AK39" s="15"/>
      <c r="AL39" s="15"/>
      <c r="AM39" s="15"/>
      <c r="AN39" s="15"/>
      <c r="AO39" s="15"/>
    </row>
    <row r="40" spans="1:41" ht="15.75" customHeight="1">
      <c r="A40" s="3">
        <v>36</v>
      </c>
      <c r="B40" s="4" t="s">
        <v>95</v>
      </c>
      <c r="C40" s="17" t="s">
        <v>96</v>
      </c>
      <c r="D40" s="6">
        <v>14</v>
      </c>
      <c r="E40" s="7">
        <v>11</v>
      </c>
      <c r="F40" s="8">
        <v>17</v>
      </c>
      <c r="G40" s="6">
        <v>14</v>
      </c>
      <c r="H40" s="9">
        <v>13</v>
      </c>
      <c r="I40" s="10">
        <v>10</v>
      </c>
      <c r="J40" s="6">
        <v>16</v>
      </c>
      <c r="K40" s="7">
        <v>12</v>
      </c>
      <c r="L40" s="11">
        <v>16</v>
      </c>
      <c r="M40" s="6">
        <v>12</v>
      </c>
      <c r="N40" s="12">
        <v>17</v>
      </c>
      <c r="O40" s="12">
        <v>12</v>
      </c>
      <c r="P40" s="6">
        <v>9</v>
      </c>
      <c r="Q40" s="6">
        <v>3</v>
      </c>
      <c r="R40" s="12">
        <v>10</v>
      </c>
      <c r="S40" s="12">
        <v>10</v>
      </c>
      <c r="T40" s="6">
        <v>9</v>
      </c>
      <c r="U40" s="7">
        <v>6</v>
      </c>
      <c r="V40" s="12">
        <v>5</v>
      </c>
      <c r="W40" s="12">
        <v>5</v>
      </c>
      <c r="X40" s="7">
        <v>4</v>
      </c>
      <c r="Y40" s="7">
        <v>4</v>
      </c>
      <c r="Z40" s="13">
        <v>16</v>
      </c>
      <c r="AA40" s="13">
        <v>12</v>
      </c>
      <c r="AB40" s="13">
        <v>8</v>
      </c>
      <c r="AC40" s="7">
        <v>6</v>
      </c>
      <c r="AD40" s="7">
        <v>21</v>
      </c>
      <c r="AE40" s="7">
        <v>19</v>
      </c>
      <c r="AF40" s="8">
        <v>3</v>
      </c>
      <c r="AG40" s="12">
        <v>3</v>
      </c>
      <c r="AH40" s="9">
        <f t="shared" si="0"/>
        <v>178</v>
      </c>
      <c r="AI40" s="10">
        <f t="shared" si="1"/>
        <v>139</v>
      </c>
      <c r="AJ40" s="14">
        <f t="shared" si="2"/>
        <v>78.089887640449433</v>
      </c>
      <c r="AK40" s="15"/>
      <c r="AL40" s="15"/>
      <c r="AM40" s="15"/>
      <c r="AN40" s="15"/>
      <c r="AO40" s="15"/>
    </row>
    <row r="41" spans="1:41" ht="15.75" customHeight="1">
      <c r="A41" s="3">
        <v>37</v>
      </c>
      <c r="B41" s="4" t="s">
        <v>97</v>
      </c>
      <c r="C41" s="17" t="s">
        <v>98</v>
      </c>
      <c r="D41" s="6">
        <v>14</v>
      </c>
      <c r="E41" s="7">
        <v>8</v>
      </c>
      <c r="F41" s="8">
        <v>17</v>
      </c>
      <c r="G41" s="6">
        <v>8</v>
      </c>
      <c r="H41" s="9">
        <v>13</v>
      </c>
      <c r="I41" s="10">
        <v>7</v>
      </c>
      <c r="J41" s="6">
        <v>16</v>
      </c>
      <c r="K41" s="7">
        <v>11</v>
      </c>
      <c r="L41" s="11">
        <v>16</v>
      </c>
      <c r="M41" s="6">
        <v>9</v>
      </c>
      <c r="N41" s="12">
        <v>17</v>
      </c>
      <c r="O41" s="12">
        <v>14</v>
      </c>
      <c r="P41" s="6">
        <v>9</v>
      </c>
      <c r="Q41" s="6">
        <v>6</v>
      </c>
      <c r="R41" s="12">
        <v>10</v>
      </c>
      <c r="S41" s="12">
        <v>8</v>
      </c>
      <c r="T41" s="6">
        <v>9</v>
      </c>
      <c r="U41" s="7">
        <v>6</v>
      </c>
      <c r="V41" s="12">
        <v>5</v>
      </c>
      <c r="W41" s="12">
        <v>4</v>
      </c>
      <c r="X41" s="7">
        <v>4</v>
      </c>
      <c r="Y41" s="7">
        <v>4</v>
      </c>
      <c r="Z41" s="13">
        <v>16</v>
      </c>
      <c r="AA41" s="13">
        <v>10</v>
      </c>
      <c r="AB41" s="13">
        <v>8</v>
      </c>
      <c r="AC41" s="7">
        <v>5</v>
      </c>
      <c r="AD41" s="7">
        <v>21</v>
      </c>
      <c r="AE41" s="7">
        <v>10</v>
      </c>
      <c r="AF41" s="8">
        <v>3</v>
      </c>
      <c r="AG41" s="12">
        <v>1</v>
      </c>
      <c r="AH41" s="9">
        <f t="shared" si="0"/>
        <v>178</v>
      </c>
      <c r="AI41" s="10">
        <f t="shared" si="1"/>
        <v>111</v>
      </c>
      <c r="AJ41" s="14">
        <f t="shared" si="2"/>
        <v>62.359550561797747</v>
      </c>
      <c r="AK41" s="15"/>
      <c r="AL41" s="15"/>
      <c r="AM41" s="15"/>
      <c r="AN41" s="15"/>
      <c r="AO41" s="15"/>
    </row>
    <row r="42" spans="1:41" ht="15.75" customHeight="1">
      <c r="A42" s="3">
        <v>38</v>
      </c>
      <c r="B42" s="4" t="s">
        <v>99</v>
      </c>
      <c r="C42" s="17" t="s">
        <v>100</v>
      </c>
      <c r="D42" s="6">
        <v>14</v>
      </c>
      <c r="E42" s="7">
        <v>13</v>
      </c>
      <c r="F42" s="8">
        <v>17</v>
      </c>
      <c r="G42" s="6">
        <v>17</v>
      </c>
      <c r="H42" s="9">
        <v>13</v>
      </c>
      <c r="I42" s="10">
        <v>12</v>
      </c>
      <c r="J42" s="6">
        <v>16</v>
      </c>
      <c r="K42" s="7">
        <v>16</v>
      </c>
      <c r="L42" s="11">
        <v>16</v>
      </c>
      <c r="M42" s="6">
        <v>15</v>
      </c>
      <c r="N42" s="12">
        <v>17</v>
      </c>
      <c r="O42" s="12">
        <v>17</v>
      </c>
      <c r="P42" s="6">
        <v>9</v>
      </c>
      <c r="Q42" s="6">
        <v>9</v>
      </c>
      <c r="R42" s="12">
        <v>10</v>
      </c>
      <c r="S42" s="12">
        <v>10</v>
      </c>
      <c r="T42" s="6">
        <v>9</v>
      </c>
      <c r="U42" s="7">
        <v>9</v>
      </c>
      <c r="V42" s="12">
        <v>5</v>
      </c>
      <c r="W42" s="12">
        <v>5</v>
      </c>
      <c r="X42" s="7">
        <v>4</v>
      </c>
      <c r="Y42" s="7">
        <v>4</v>
      </c>
      <c r="Z42" s="13">
        <v>16</v>
      </c>
      <c r="AA42" s="13">
        <v>16</v>
      </c>
      <c r="AB42" s="13">
        <v>8</v>
      </c>
      <c r="AC42" s="7">
        <v>8</v>
      </c>
      <c r="AD42" s="7">
        <v>21</v>
      </c>
      <c r="AE42" s="7">
        <v>21</v>
      </c>
      <c r="AF42" s="8">
        <v>3</v>
      </c>
      <c r="AG42" s="12">
        <v>3</v>
      </c>
      <c r="AH42" s="9">
        <f t="shared" si="0"/>
        <v>178</v>
      </c>
      <c r="AI42" s="10">
        <f t="shared" si="1"/>
        <v>175</v>
      </c>
      <c r="AJ42" s="14">
        <f t="shared" si="2"/>
        <v>98.31460674157303</v>
      </c>
      <c r="AK42" s="15"/>
      <c r="AL42" s="15"/>
      <c r="AM42" s="15"/>
      <c r="AN42" s="15"/>
      <c r="AO42" s="15"/>
    </row>
    <row r="43" spans="1:41" ht="15.75" customHeight="1">
      <c r="A43" s="3">
        <v>39</v>
      </c>
      <c r="B43" s="4" t="s">
        <v>101</v>
      </c>
      <c r="C43" s="17" t="s">
        <v>102</v>
      </c>
      <c r="D43" s="6">
        <v>14</v>
      </c>
      <c r="E43" s="7">
        <v>12</v>
      </c>
      <c r="F43" s="8">
        <v>17</v>
      </c>
      <c r="G43" s="6">
        <v>15</v>
      </c>
      <c r="H43" s="9">
        <v>13</v>
      </c>
      <c r="I43" s="10">
        <v>11</v>
      </c>
      <c r="J43" s="6">
        <v>16</v>
      </c>
      <c r="K43" s="7">
        <v>14</v>
      </c>
      <c r="L43" s="11">
        <v>16</v>
      </c>
      <c r="M43" s="6">
        <v>15</v>
      </c>
      <c r="N43" s="12">
        <v>17</v>
      </c>
      <c r="O43" s="12">
        <v>16</v>
      </c>
      <c r="P43" s="6">
        <v>9</v>
      </c>
      <c r="Q43" s="6">
        <v>9</v>
      </c>
      <c r="R43" s="12">
        <v>10</v>
      </c>
      <c r="S43" s="12">
        <v>10</v>
      </c>
      <c r="T43" s="6">
        <v>9</v>
      </c>
      <c r="U43" s="7">
        <v>9</v>
      </c>
      <c r="V43" s="12">
        <v>5</v>
      </c>
      <c r="W43" s="12">
        <v>5</v>
      </c>
      <c r="X43" s="7">
        <v>4</v>
      </c>
      <c r="Y43" s="7">
        <v>4</v>
      </c>
      <c r="Z43" s="13">
        <v>16</v>
      </c>
      <c r="AA43" s="13">
        <v>10</v>
      </c>
      <c r="AB43" s="13">
        <v>8</v>
      </c>
      <c r="AC43" s="7">
        <v>5</v>
      </c>
      <c r="AD43" s="7">
        <v>21</v>
      </c>
      <c r="AE43" s="7">
        <v>21</v>
      </c>
      <c r="AF43" s="8">
        <v>3</v>
      </c>
      <c r="AG43" s="12">
        <v>3</v>
      </c>
      <c r="AH43" s="9">
        <f t="shared" si="0"/>
        <v>178</v>
      </c>
      <c r="AI43" s="10">
        <f t="shared" si="1"/>
        <v>159</v>
      </c>
      <c r="AJ43" s="14">
        <f t="shared" si="2"/>
        <v>89.325842696629209</v>
      </c>
      <c r="AK43" s="15"/>
      <c r="AL43" s="15"/>
      <c r="AM43" s="15"/>
      <c r="AN43" s="15"/>
      <c r="AO43" s="15"/>
    </row>
    <row r="44" spans="1:41" ht="15.75" customHeight="1">
      <c r="A44" s="3">
        <v>40</v>
      </c>
      <c r="B44" s="4" t="s">
        <v>103</v>
      </c>
      <c r="C44" s="17" t="s">
        <v>104</v>
      </c>
      <c r="D44" s="6">
        <v>14</v>
      </c>
      <c r="E44" s="7">
        <v>11</v>
      </c>
      <c r="F44" s="8">
        <v>17</v>
      </c>
      <c r="G44" s="6">
        <v>12</v>
      </c>
      <c r="H44" s="9">
        <v>13</v>
      </c>
      <c r="I44" s="10">
        <v>12</v>
      </c>
      <c r="J44" s="6">
        <v>16</v>
      </c>
      <c r="K44" s="7">
        <v>14</v>
      </c>
      <c r="L44" s="11">
        <v>16</v>
      </c>
      <c r="M44" s="6">
        <v>12</v>
      </c>
      <c r="N44" s="12">
        <v>17</v>
      </c>
      <c r="O44" s="12">
        <v>15</v>
      </c>
      <c r="P44" s="6">
        <v>9</v>
      </c>
      <c r="Q44" s="6">
        <v>6</v>
      </c>
      <c r="R44" s="12">
        <v>10</v>
      </c>
      <c r="S44" s="12">
        <v>8</v>
      </c>
      <c r="T44" s="6">
        <v>9</v>
      </c>
      <c r="U44" s="7">
        <v>6</v>
      </c>
      <c r="V44" s="12">
        <v>5</v>
      </c>
      <c r="W44" s="12">
        <v>4</v>
      </c>
      <c r="X44" s="7">
        <v>4</v>
      </c>
      <c r="Y44" s="7">
        <v>4</v>
      </c>
      <c r="Z44" s="13">
        <v>16</v>
      </c>
      <c r="AA44" s="13">
        <v>12</v>
      </c>
      <c r="AB44" s="13">
        <v>8</v>
      </c>
      <c r="AC44" s="7">
        <v>6</v>
      </c>
      <c r="AD44" s="7">
        <v>21</v>
      </c>
      <c r="AE44" s="7">
        <v>4</v>
      </c>
      <c r="AF44" s="8">
        <v>3</v>
      </c>
      <c r="AG44" s="12">
        <v>3</v>
      </c>
      <c r="AH44" s="9">
        <f t="shared" si="0"/>
        <v>178</v>
      </c>
      <c r="AI44" s="10">
        <f t="shared" si="1"/>
        <v>129</v>
      </c>
      <c r="AJ44" s="14">
        <f t="shared" si="2"/>
        <v>72.471910112359552</v>
      </c>
      <c r="AK44" s="15"/>
      <c r="AL44" s="15"/>
      <c r="AM44" s="15"/>
      <c r="AN44" s="15"/>
      <c r="AO44" s="15"/>
    </row>
    <row r="45" spans="1:41" ht="15.75" customHeight="1">
      <c r="A45" s="3">
        <v>41</v>
      </c>
      <c r="B45" s="4" t="s">
        <v>105</v>
      </c>
      <c r="C45" s="17" t="s">
        <v>106</v>
      </c>
      <c r="D45" s="6">
        <v>14</v>
      </c>
      <c r="E45" s="7">
        <v>12</v>
      </c>
      <c r="F45" s="8">
        <v>17</v>
      </c>
      <c r="G45" s="6">
        <v>11</v>
      </c>
      <c r="H45" s="9">
        <v>13</v>
      </c>
      <c r="I45" s="10">
        <v>10</v>
      </c>
      <c r="J45" s="6">
        <v>16</v>
      </c>
      <c r="K45" s="7">
        <v>13</v>
      </c>
      <c r="L45" s="11">
        <v>16</v>
      </c>
      <c r="M45" s="6">
        <v>14</v>
      </c>
      <c r="N45" s="12">
        <v>17</v>
      </c>
      <c r="O45" s="12">
        <v>17</v>
      </c>
      <c r="P45" s="6">
        <v>9</v>
      </c>
      <c r="Q45" s="6">
        <v>9</v>
      </c>
      <c r="R45" s="12">
        <v>10</v>
      </c>
      <c r="S45" s="12">
        <v>10</v>
      </c>
      <c r="T45" s="6">
        <v>9</v>
      </c>
      <c r="U45" s="7">
        <v>9</v>
      </c>
      <c r="V45" s="12">
        <v>5</v>
      </c>
      <c r="W45" s="12">
        <v>5</v>
      </c>
      <c r="X45" s="7">
        <v>4</v>
      </c>
      <c r="Y45" s="7">
        <v>3</v>
      </c>
      <c r="Z45" s="13">
        <v>16</v>
      </c>
      <c r="AA45" s="13">
        <v>12</v>
      </c>
      <c r="AB45" s="13">
        <v>8</v>
      </c>
      <c r="AC45" s="7">
        <v>6</v>
      </c>
      <c r="AD45" s="7">
        <v>21</v>
      </c>
      <c r="AE45" s="7">
        <v>18</v>
      </c>
      <c r="AF45" s="8">
        <v>3</v>
      </c>
      <c r="AG45" s="12">
        <v>3</v>
      </c>
      <c r="AH45" s="9">
        <f t="shared" si="0"/>
        <v>178</v>
      </c>
      <c r="AI45" s="10">
        <f t="shared" si="1"/>
        <v>152</v>
      </c>
      <c r="AJ45" s="14">
        <f t="shared" si="2"/>
        <v>85.393258426966284</v>
      </c>
      <c r="AK45" s="15"/>
      <c r="AL45" s="15"/>
      <c r="AM45" s="15"/>
      <c r="AN45" s="15"/>
      <c r="AO45" s="15"/>
    </row>
    <row r="46" spans="1:41" ht="15.75" customHeight="1">
      <c r="A46" s="3">
        <v>42</v>
      </c>
      <c r="B46" s="4" t="s">
        <v>107</v>
      </c>
      <c r="C46" s="17" t="s">
        <v>108</v>
      </c>
      <c r="D46" s="6">
        <v>14</v>
      </c>
      <c r="E46" s="7">
        <v>13</v>
      </c>
      <c r="F46" s="8">
        <v>17</v>
      </c>
      <c r="G46" s="6">
        <v>17</v>
      </c>
      <c r="H46" s="9">
        <v>13</v>
      </c>
      <c r="I46" s="10">
        <v>13</v>
      </c>
      <c r="J46" s="6">
        <v>16</v>
      </c>
      <c r="K46" s="7">
        <v>16</v>
      </c>
      <c r="L46" s="11">
        <v>16</v>
      </c>
      <c r="M46" s="6">
        <v>16</v>
      </c>
      <c r="N46" s="12">
        <v>17</v>
      </c>
      <c r="O46" s="12">
        <v>16</v>
      </c>
      <c r="P46" s="6">
        <v>9</v>
      </c>
      <c r="Q46" s="6">
        <v>6</v>
      </c>
      <c r="R46" s="12">
        <v>10</v>
      </c>
      <c r="S46" s="12">
        <v>8</v>
      </c>
      <c r="T46" s="6">
        <v>9</v>
      </c>
      <c r="U46" s="7">
        <v>9</v>
      </c>
      <c r="V46" s="12">
        <v>5</v>
      </c>
      <c r="W46" s="12">
        <v>4</v>
      </c>
      <c r="X46" s="7">
        <v>4</v>
      </c>
      <c r="Y46" s="7">
        <v>4</v>
      </c>
      <c r="Z46" s="13">
        <v>16</v>
      </c>
      <c r="AA46" s="13">
        <v>16</v>
      </c>
      <c r="AB46" s="13">
        <v>8</v>
      </c>
      <c r="AC46" s="7">
        <v>8</v>
      </c>
      <c r="AD46" s="7">
        <v>21</v>
      </c>
      <c r="AE46" s="7">
        <v>21</v>
      </c>
      <c r="AF46" s="8">
        <v>3</v>
      </c>
      <c r="AG46" s="12">
        <v>3</v>
      </c>
      <c r="AH46" s="9">
        <f t="shared" si="0"/>
        <v>178</v>
      </c>
      <c r="AI46" s="10">
        <f t="shared" si="1"/>
        <v>170</v>
      </c>
      <c r="AJ46" s="14">
        <f t="shared" si="2"/>
        <v>95.50561797752809</v>
      </c>
      <c r="AK46" s="15"/>
      <c r="AL46" s="15"/>
      <c r="AM46" s="15"/>
      <c r="AN46" s="15"/>
      <c r="AO46" s="15"/>
    </row>
    <row r="47" spans="1:41" ht="15.75" customHeight="1">
      <c r="A47" s="3">
        <v>43</v>
      </c>
      <c r="B47" s="4" t="s">
        <v>109</v>
      </c>
      <c r="C47" s="17" t="s">
        <v>110</v>
      </c>
      <c r="D47" s="6">
        <v>14</v>
      </c>
      <c r="E47" s="7">
        <v>12</v>
      </c>
      <c r="F47" s="8">
        <v>17</v>
      </c>
      <c r="G47" s="6">
        <v>16</v>
      </c>
      <c r="H47" s="9">
        <v>13</v>
      </c>
      <c r="I47" s="10">
        <v>11</v>
      </c>
      <c r="J47" s="6">
        <v>16</v>
      </c>
      <c r="K47" s="7">
        <v>14</v>
      </c>
      <c r="L47" s="11">
        <v>16</v>
      </c>
      <c r="M47" s="6">
        <v>15</v>
      </c>
      <c r="N47" s="12">
        <v>17</v>
      </c>
      <c r="O47" s="12">
        <v>15</v>
      </c>
      <c r="P47" s="6">
        <v>9</v>
      </c>
      <c r="Q47" s="6">
        <v>9</v>
      </c>
      <c r="R47" s="12">
        <v>10</v>
      </c>
      <c r="S47" s="12">
        <v>10</v>
      </c>
      <c r="T47" s="6">
        <v>9</v>
      </c>
      <c r="U47" s="7">
        <v>3</v>
      </c>
      <c r="V47" s="12">
        <v>5</v>
      </c>
      <c r="W47" s="12">
        <v>5</v>
      </c>
      <c r="X47" s="7">
        <v>4</v>
      </c>
      <c r="Y47" s="7">
        <v>3</v>
      </c>
      <c r="Z47" s="13">
        <v>16</v>
      </c>
      <c r="AA47" s="13">
        <v>8</v>
      </c>
      <c r="AB47" s="13">
        <v>8</v>
      </c>
      <c r="AC47" s="7">
        <v>5</v>
      </c>
      <c r="AD47" s="7">
        <v>21</v>
      </c>
      <c r="AE47" s="7">
        <v>21</v>
      </c>
      <c r="AF47" s="8">
        <v>3</v>
      </c>
      <c r="AG47" s="12">
        <v>3</v>
      </c>
      <c r="AH47" s="9">
        <f t="shared" si="0"/>
        <v>178</v>
      </c>
      <c r="AI47" s="10">
        <f t="shared" si="1"/>
        <v>150</v>
      </c>
      <c r="AJ47" s="14">
        <f t="shared" si="2"/>
        <v>84.269662921348313</v>
      </c>
      <c r="AK47" s="15"/>
      <c r="AL47" s="15"/>
      <c r="AM47" s="15"/>
      <c r="AN47" s="15"/>
      <c r="AO47" s="15"/>
    </row>
    <row r="48" spans="1:41" ht="15.75" customHeight="1">
      <c r="A48" s="3">
        <v>44</v>
      </c>
      <c r="B48" s="4" t="s">
        <v>111</v>
      </c>
      <c r="C48" s="17" t="s">
        <v>112</v>
      </c>
      <c r="D48" s="6">
        <v>14</v>
      </c>
      <c r="E48" s="7">
        <v>13</v>
      </c>
      <c r="F48" s="8">
        <v>17</v>
      </c>
      <c r="G48" s="6">
        <v>15</v>
      </c>
      <c r="H48" s="9">
        <v>13</v>
      </c>
      <c r="I48" s="18">
        <v>12</v>
      </c>
      <c r="J48" s="6">
        <v>16</v>
      </c>
      <c r="K48" s="7">
        <v>16</v>
      </c>
      <c r="L48" s="11">
        <v>16</v>
      </c>
      <c r="M48" s="6">
        <v>15</v>
      </c>
      <c r="N48" s="12">
        <v>17</v>
      </c>
      <c r="O48" s="12">
        <v>16</v>
      </c>
      <c r="P48" s="6">
        <v>9</v>
      </c>
      <c r="Q48" s="6">
        <v>9</v>
      </c>
      <c r="R48" s="12">
        <v>10</v>
      </c>
      <c r="S48" s="12">
        <v>10</v>
      </c>
      <c r="T48" s="6">
        <v>9</v>
      </c>
      <c r="U48" s="19">
        <v>9</v>
      </c>
      <c r="V48" s="12">
        <v>5</v>
      </c>
      <c r="W48" s="12">
        <v>5</v>
      </c>
      <c r="X48" s="7">
        <v>4</v>
      </c>
      <c r="Y48" s="7">
        <v>4</v>
      </c>
      <c r="Z48" s="13">
        <v>16</v>
      </c>
      <c r="AA48" s="13">
        <v>16</v>
      </c>
      <c r="AB48" s="13">
        <v>8</v>
      </c>
      <c r="AC48" s="7">
        <v>8</v>
      </c>
      <c r="AD48" s="7">
        <v>21</v>
      </c>
      <c r="AE48" s="7">
        <v>18</v>
      </c>
      <c r="AF48" s="8">
        <v>3</v>
      </c>
      <c r="AG48" s="12">
        <v>3</v>
      </c>
      <c r="AH48" s="9">
        <f t="shared" si="0"/>
        <v>178</v>
      </c>
      <c r="AI48" s="10">
        <f t="shared" si="1"/>
        <v>169</v>
      </c>
      <c r="AJ48" s="14">
        <f t="shared" si="2"/>
        <v>94.943820224719104</v>
      </c>
      <c r="AK48" s="15"/>
      <c r="AL48" s="15"/>
      <c r="AM48" s="15"/>
      <c r="AN48" s="15"/>
      <c r="AO48" s="15"/>
    </row>
    <row r="49" spans="1:41" ht="15.75" customHeight="1">
      <c r="A49" s="1"/>
      <c r="B49" s="1"/>
      <c r="C49" s="1"/>
      <c r="D49" s="29" t="s">
        <v>113</v>
      </c>
      <c r="E49" s="30"/>
      <c r="F49" s="29" t="s">
        <v>114</v>
      </c>
      <c r="G49" s="30"/>
      <c r="H49" s="47" t="s">
        <v>123</v>
      </c>
      <c r="I49" s="30"/>
      <c r="J49" s="29" t="s">
        <v>116</v>
      </c>
      <c r="K49" s="30"/>
      <c r="L49" s="29" t="s">
        <v>130</v>
      </c>
      <c r="M49" s="30"/>
      <c r="N49" s="20" t="s">
        <v>118</v>
      </c>
      <c r="O49" s="21"/>
      <c r="P49" s="29" t="s">
        <v>130</v>
      </c>
      <c r="Q49" s="30"/>
      <c r="R49" s="29" t="s">
        <v>119</v>
      </c>
      <c r="S49" s="30"/>
      <c r="T49" s="29" t="s">
        <v>116</v>
      </c>
      <c r="U49" s="30"/>
      <c r="V49" s="29" t="s">
        <v>119</v>
      </c>
      <c r="W49" s="30"/>
      <c r="X49" s="29" t="s">
        <v>120</v>
      </c>
      <c r="Y49" s="30"/>
      <c r="Z49" s="29" t="s">
        <v>121</v>
      </c>
      <c r="AA49" s="30"/>
      <c r="AB49" s="29" t="s">
        <v>122</v>
      </c>
      <c r="AC49" s="30"/>
      <c r="AD49" s="29"/>
      <c r="AE49" s="42"/>
      <c r="AF49" s="30"/>
      <c r="AG49" s="1"/>
      <c r="AH49" s="1"/>
      <c r="AI49" s="1"/>
      <c r="AJ49" s="1"/>
      <c r="AK49" s="15"/>
      <c r="AL49" s="1"/>
      <c r="AM49" s="1"/>
      <c r="AN49" s="1"/>
      <c r="AO49" s="1"/>
    </row>
    <row r="50" spans="1:41" ht="15.75" customHeight="1">
      <c r="A50" s="1"/>
      <c r="B50" s="1"/>
      <c r="C50" s="1"/>
      <c r="D50" s="31"/>
      <c r="E50" s="30"/>
      <c r="F50" s="31"/>
      <c r="G50" s="30"/>
      <c r="H50" s="31"/>
      <c r="I50" s="30"/>
      <c r="J50" s="31"/>
      <c r="K50" s="30"/>
      <c r="L50" s="31"/>
      <c r="M50" s="30"/>
      <c r="N50" s="31"/>
      <c r="O50" s="30"/>
      <c r="P50" s="31"/>
      <c r="Q50" s="30"/>
      <c r="R50" s="31"/>
      <c r="S50" s="30"/>
      <c r="T50" s="31"/>
      <c r="U50" s="30"/>
      <c r="V50" s="31"/>
      <c r="W50" s="30"/>
      <c r="X50" s="31"/>
      <c r="Y50" s="30"/>
      <c r="Z50" s="31"/>
      <c r="AA50" s="30"/>
      <c r="AB50" s="31"/>
      <c r="AC50" s="30"/>
      <c r="AD50" s="43"/>
      <c r="AE50" s="44"/>
      <c r="AF50" s="45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1"/>
      <c r="C54" s="41" t="s">
        <v>124</v>
      </c>
      <c r="D54" s="35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1" t="s">
        <v>125</v>
      </c>
      <c r="AC54" s="35"/>
      <c r="AD54" s="35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1"/>
      <c r="C55" s="35"/>
      <c r="D55" s="35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5"/>
      <c r="AC55" s="35"/>
      <c r="AD55" s="35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1"/>
      <c r="C56" s="41" t="s">
        <v>126</v>
      </c>
      <c r="D56" s="3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41" t="s">
        <v>127</v>
      </c>
      <c r="AA56" s="35"/>
      <c r="AB56" s="35"/>
      <c r="AC56" s="35"/>
      <c r="AD56" s="35"/>
      <c r="AE56" s="35"/>
      <c r="AF56" s="35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3">
    <mergeCell ref="L50:M50"/>
    <mergeCell ref="C54:E55"/>
    <mergeCell ref="C56:E56"/>
    <mergeCell ref="H3:I3"/>
    <mergeCell ref="J3:K3"/>
    <mergeCell ref="D49:E49"/>
    <mergeCell ref="F49:G49"/>
    <mergeCell ref="H49:I49"/>
    <mergeCell ref="J49:K49"/>
    <mergeCell ref="D50:E50"/>
    <mergeCell ref="F50:G50"/>
    <mergeCell ref="H50:I50"/>
    <mergeCell ref="J50:K50"/>
    <mergeCell ref="L49:M49"/>
    <mergeCell ref="Z50:AA50"/>
    <mergeCell ref="AB50:AC50"/>
    <mergeCell ref="AB54:AD55"/>
    <mergeCell ref="Z56:AF56"/>
    <mergeCell ref="Z49:AA49"/>
    <mergeCell ref="AB49:AC49"/>
    <mergeCell ref="AD49:AF49"/>
    <mergeCell ref="N50:O50"/>
    <mergeCell ref="P50:Q50"/>
    <mergeCell ref="R50:S50"/>
    <mergeCell ref="T50:U50"/>
    <mergeCell ref="AD50:AF50"/>
    <mergeCell ref="P49:Q49"/>
    <mergeCell ref="R49:S49"/>
    <mergeCell ref="T49:U49"/>
    <mergeCell ref="A1:AF1"/>
    <mergeCell ref="A2:AF2"/>
    <mergeCell ref="A3:A4"/>
    <mergeCell ref="B3:B4"/>
    <mergeCell ref="C3:C4"/>
    <mergeCell ref="D3:E3"/>
    <mergeCell ref="F3:G3"/>
    <mergeCell ref="P3:Q3"/>
    <mergeCell ref="R3:S3"/>
    <mergeCell ref="Z3:AA3"/>
    <mergeCell ref="AB3:AC3"/>
    <mergeCell ref="AD3:AE3"/>
    <mergeCell ref="AF3:AG3"/>
    <mergeCell ref="L3:M3"/>
    <mergeCell ref="N3:O3"/>
    <mergeCell ref="T3:U3"/>
    <mergeCell ref="V49:W49"/>
    <mergeCell ref="X49:Y49"/>
    <mergeCell ref="V50:W50"/>
    <mergeCell ref="X50:Y50"/>
    <mergeCell ref="AJ3:AJ4"/>
    <mergeCell ref="AH3:AI3"/>
    <mergeCell ref="V3:W3"/>
    <mergeCell ref="X3:Y3"/>
  </mergeCells>
  <hyperlinks>
    <hyperlink ref="A3" r:id="rId1" xr:uid="{00000000-0004-0000-0100-000000000000}"/>
    <hyperlink ref="B3" r:id="rId2" xr:uid="{00000000-0004-0000-0100-000001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O999"/>
  <sheetViews>
    <sheetView workbookViewId="0"/>
  </sheetViews>
  <sheetFormatPr defaultColWidth="12.6640625" defaultRowHeight="15" customHeight="1"/>
  <cols>
    <col min="1" max="1" width="5.33203125" customWidth="1"/>
    <col min="2" max="2" width="10.88671875" customWidth="1"/>
    <col min="3" max="3" width="19" customWidth="1"/>
    <col min="4" max="4" width="3.44140625" customWidth="1"/>
    <col min="5" max="5" width="3.109375" customWidth="1"/>
    <col min="6" max="7" width="3.21875" customWidth="1"/>
    <col min="8" max="8" width="3.109375" customWidth="1"/>
    <col min="9" max="9" width="3.21875" customWidth="1"/>
    <col min="10" max="10" width="3" customWidth="1"/>
    <col min="11" max="11" width="2.77734375" customWidth="1"/>
    <col min="12" max="12" width="3" customWidth="1"/>
    <col min="13" max="13" width="2.77734375" customWidth="1"/>
    <col min="14" max="14" width="2.88671875" customWidth="1"/>
    <col min="15" max="15" width="4" customWidth="1"/>
    <col min="16" max="16" width="3.6640625" customWidth="1"/>
    <col min="17" max="18" width="3.33203125" customWidth="1"/>
    <col min="19" max="20" width="3.6640625" customWidth="1"/>
    <col min="21" max="21" width="3.44140625" customWidth="1"/>
    <col min="22" max="22" width="3.109375" customWidth="1"/>
    <col min="23" max="23" width="3.6640625" customWidth="1"/>
    <col min="24" max="24" width="3.77734375" customWidth="1"/>
    <col min="25" max="25" width="3.33203125" customWidth="1"/>
    <col min="26" max="27" width="3.21875" customWidth="1"/>
    <col min="28" max="28" width="3.44140625" customWidth="1"/>
    <col min="29" max="29" width="3.33203125" customWidth="1"/>
    <col min="30" max="30" width="4.21875" customWidth="1"/>
    <col min="31" max="31" width="4.88671875" customWidth="1"/>
    <col min="32" max="32" width="5.6640625" customWidth="1"/>
    <col min="33" max="33" width="5.21875" customWidth="1"/>
    <col min="34" max="34" width="6.77734375" customWidth="1"/>
    <col min="35" max="35" width="5.77734375" customWidth="1"/>
    <col min="36" max="36" width="7.88671875" customWidth="1"/>
  </cols>
  <sheetData>
    <row r="1" spans="1:41" ht="15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36" t="s">
        <v>131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37" t="s">
        <v>2</v>
      </c>
      <c r="B3" s="38" t="s">
        <v>132</v>
      </c>
      <c r="C3" s="39" t="s">
        <v>4</v>
      </c>
      <c r="D3" s="40" t="s">
        <v>5</v>
      </c>
      <c r="E3" s="30"/>
      <c r="F3" s="40" t="s">
        <v>6</v>
      </c>
      <c r="G3" s="30"/>
      <c r="H3" s="40" t="s">
        <v>7</v>
      </c>
      <c r="I3" s="30"/>
      <c r="J3" s="40" t="s">
        <v>8</v>
      </c>
      <c r="K3" s="30"/>
      <c r="L3" s="40" t="s">
        <v>9</v>
      </c>
      <c r="M3" s="30"/>
      <c r="N3" s="40" t="s">
        <v>10</v>
      </c>
      <c r="O3" s="30"/>
      <c r="P3" s="40" t="s">
        <v>11</v>
      </c>
      <c r="Q3" s="30"/>
      <c r="R3" s="40" t="s">
        <v>12</v>
      </c>
      <c r="S3" s="30"/>
      <c r="T3" s="40" t="s">
        <v>13</v>
      </c>
      <c r="U3" s="30"/>
      <c r="V3" s="40" t="s">
        <v>14</v>
      </c>
      <c r="W3" s="30"/>
      <c r="X3" s="40" t="s">
        <v>15</v>
      </c>
      <c r="Y3" s="30"/>
      <c r="Z3" s="40" t="s">
        <v>16</v>
      </c>
      <c r="AA3" s="30"/>
      <c r="AB3" s="40" t="s">
        <v>17</v>
      </c>
      <c r="AC3" s="30"/>
      <c r="AD3" s="40" t="s">
        <v>18</v>
      </c>
      <c r="AE3" s="30"/>
      <c r="AF3" s="40" t="s">
        <v>19</v>
      </c>
      <c r="AG3" s="30"/>
      <c r="AH3" s="40" t="s">
        <v>20</v>
      </c>
      <c r="AI3" s="30"/>
      <c r="AJ3" s="32" t="s">
        <v>21</v>
      </c>
      <c r="AK3" s="1" t="s">
        <v>22</v>
      </c>
      <c r="AL3" s="1"/>
      <c r="AM3" s="1"/>
      <c r="AN3" s="1"/>
      <c r="AO3" s="1"/>
    </row>
    <row r="4" spans="1:41" ht="15.75" customHeight="1">
      <c r="A4" s="33"/>
      <c r="B4" s="33"/>
      <c r="C4" s="33"/>
      <c r="D4" s="2" t="s">
        <v>23</v>
      </c>
      <c r="E4" s="2" t="s">
        <v>24</v>
      </c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33"/>
      <c r="AK4" s="1"/>
      <c r="AL4" s="1"/>
      <c r="AM4" s="1"/>
      <c r="AN4" s="1"/>
      <c r="AO4" s="1"/>
    </row>
    <row r="5" spans="1:41" ht="15.75" customHeight="1">
      <c r="A5" s="3">
        <v>1</v>
      </c>
      <c r="B5" s="4" t="s">
        <v>25</v>
      </c>
      <c r="C5" s="5" t="s">
        <v>26</v>
      </c>
      <c r="D5" s="6">
        <v>20</v>
      </c>
      <c r="E5" s="7">
        <v>18</v>
      </c>
      <c r="F5" s="8">
        <v>21</v>
      </c>
      <c r="G5" s="22">
        <v>18</v>
      </c>
      <c r="H5" s="9">
        <v>17</v>
      </c>
      <c r="I5" s="10">
        <v>14</v>
      </c>
      <c r="J5" s="6">
        <v>19</v>
      </c>
      <c r="K5" s="7">
        <v>18</v>
      </c>
      <c r="L5" s="11">
        <v>22</v>
      </c>
      <c r="M5" s="6">
        <v>18</v>
      </c>
      <c r="N5" s="12">
        <v>23</v>
      </c>
      <c r="O5" s="12">
        <v>20</v>
      </c>
      <c r="P5" s="6">
        <v>18</v>
      </c>
      <c r="Q5" s="6">
        <v>18</v>
      </c>
      <c r="R5" s="23">
        <v>12</v>
      </c>
      <c r="S5" s="23">
        <v>12</v>
      </c>
      <c r="T5" s="6">
        <v>12</v>
      </c>
      <c r="U5" s="7">
        <v>12</v>
      </c>
      <c r="V5" s="24">
        <v>6</v>
      </c>
      <c r="W5" s="24">
        <v>6</v>
      </c>
      <c r="X5" s="7">
        <v>5</v>
      </c>
      <c r="Y5" s="7">
        <v>5</v>
      </c>
      <c r="Z5" s="13">
        <v>22</v>
      </c>
      <c r="AA5" s="13">
        <v>18</v>
      </c>
      <c r="AB5" s="13">
        <v>11</v>
      </c>
      <c r="AC5" s="7">
        <v>9</v>
      </c>
      <c r="AD5" s="7">
        <v>26</v>
      </c>
      <c r="AE5" s="7">
        <v>21</v>
      </c>
      <c r="AF5" s="8">
        <v>3</v>
      </c>
      <c r="AG5" s="12">
        <v>2</v>
      </c>
      <c r="AH5" s="9">
        <f t="shared" ref="AH5:AH48" si="0">(D5+F5+H5+J5+N5+P5+R5+T5+V5+X5+Z5+AB5+AD5+AF5+L5)</f>
        <v>237</v>
      </c>
      <c r="AI5" s="10">
        <f t="shared" ref="AI5:AI48" si="1">(E5+G5+I5+K5+M5+O5+Q5+S5+U5+W5+Y5+AA5+AC5+AE5+AG5)</f>
        <v>209</v>
      </c>
      <c r="AJ5" s="14">
        <f t="shared" ref="AJ5:AJ48" si="2">(AI5/AH5)*100</f>
        <v>88.185654008438817</v>
      </c>
      <c r="AK5" s="15"/>
      <c r="AL5" s="15"/>
      <c r="AM5" s="15"/>
      <c r="AN5" s="15"/>
      <c r="AO5" s="15">
        <v>1</v>
      </c>
    </row>
    <row r="6" spans="1:41" ht="15.75" customHeight="1">
      <c r="A6" s="3">
        <v>2</v>
      </c>
      <c r="B6" s="4" t="s">
        <v>27</v>
      </c>
      <c r="C6" s="5" t="s">
        <v>28</v>
      </c>
      <c r="D6" s="6">
        <v>20</v>
      </c>
      <c r="E6" s="7">
        <v>17</v>
      </c>
      <c r="F6" s="8">
        <v>21</v>
      </c>
      <c r="G6" s="22">
        <v>17</v>
      </c>
      <c r="H6" s="9">
        <v>17</v>
      </c>
      <c r="I6" s="10">
        <v>12</v>
      </c>
      <c r="J6" s="6">
        <v>19</v>
      </c>
      <c r="K6" s="7">
        <v>18</v>
      </c>
      <c r="L6" s="11">
        <v>22</v>
      </c>
      <c r="M6" s="6">
        <v>17</v>
      </c>
      <c r="N6" s="12">
        <v>23</v>
      </c>
      <c r="O6" s="12">
        <v>19</v>
      </c>
      <c r="P6" s="6">
        <v>18</v>
      </c>
      <c r="Q6" s="6">
        <v>15</v>
      </c>
      <c r="R6" s="23">
        <v>12</v>
      </c>
      <c r="S6" s="23">
        <v>12</v>
      </c>
      <c r="T6" s="6">
        <v>12</v>
      </c>
      <c r="U6" s="7">
        <v>12</v>
      </c>
      <c r="V6" s="24">
        <v>6</v>
      </c>
      <c r="W6" s="24">
        <v>6</v>
      </c>
      <c r="X6" s="7">
        <v>5</v>
      </c>
      <c r="Y6" s="7">
        <v>4</v>
      </c>
      <c r="Z6" s="13">
        <v>22</v>
      </c>
      <c r="AA6" s="13">
        <v>14</v>
      </c>
      <c r="AB6" s="13">
        <v>11</v>
      </c>
      <c r="AC6" s="7">
        <v>7</v>
      </c>
      <c r="AD6" s="7">
        <v>26</v>
      </c>
      <c r="AE6" s="7">
        <v>18</v>
      </c>
      <c r="AF6" s="8">
        <v>3</v>
      </c>
      <c r="AG6" s="12">
        <v>2</v>
      </c>
      <c r="AH6" s="9">
        <f t="shared" si="0"/>
        <v>237</v>
      </c>
      <c r="AI6" s="10">
        <f t="shared" si="1"/>
        <v>190</v>
      </c>
      <c r="AJ6" s="14">
        <f t="shared" si="2"/>
        <v>80.168776371308013</v>
      </c>
      <c r="AK6" s="15"/>
      <c r="AL6" s="15"/>
      <c r="AM6" s="15"/>
      <c r="AN6" s="15"/>
      <c r="AO6" s="15"/>
    </row>
    <row r="7" spans="1:41" ht="15.75" customHeight="1">
      <c r="A7" s="3">
        <v>3</v>
      </c>
      <c r="B7" s="4" t="s">
        <v>29</v>
      </c>
      <c r="C7" s="5" t="s">
        <v>30</v>
      </c>
      <c r="D7" s="6">
        <v>20</v>
      </c>
      <c r="E7" s="7">
        <v>14</v>
      </c>
      <c r="F7" s="8">
        <v>21</v>
      </c>
      <c r="G7" s="22">
        <v>15</v>
      </c>
      <c r="H7" s="9">
        <v>17</v>
      </c>
      <c r="I7" s="10">
        <v>10</v>
      </c>
      <c r="J7" s="6">
        <v>19</v>
      </c>
      <c r="K7" s="7">
        <v>14</v>
      </c>
      <c r="L7" s="11">
        <v>22</v>
      </c>
      <c r="M7" s="6">
        <v>14</v>
      </c>
      <c r="N7" s="12">
        <v>23</v>
      </c>
      <c r="O7" s="12">
        <v>16</v>
      </c>
      <c r="P7" s="6">
        <v>18</v>
      </c>
      <c r="Q7" s="6">
        <v>9</v>
      </c>
      <c r="R7" s="23">
        <v>12</v>
      </c>
      <c r="S7" s="23">
        <v>10</v>
      </c>
      <c r="T7" s="6">
        <v>12</v>
      </c>
      <c r="U7" s="7">
        <v>9</v>
      </c>
      <c r="V7" s="24">
        <v>6</v>
      </c>
      <c r="W7" s="24">
        <v>5</v>
      </c>
      <c r="X7" s="7">
        <v>5</v>
      </c>
      <c r="Y7" s="7">
        <v>2</v>
      </c>
      <c r="Z7" s="13">
        <v>22</v>
      </c>
      <c r="AA7" s="13">
        <v>12</v>
      </c>
      <c r="AB7" s="13">
        <v>11</v>
      </c>
      <c r="AC7" s="7">
        <v>6</v>
      </c>
      <c r="AD7" s="7">
        <v>26</v>
      </c>
      <c r="AE7" s="7">
        <v>18</v>
      </c>
      <c r="AF7" s="8">
        <v>3</v>
      </c>
      <c r="AG7" s="12">
        <v>2</v>
      </c>
      <c r="AH7" s="9">
        <f t="shared" si="0"/>
        <v>237</v>
      </c>
      <c r="AI7" s="10">
        <f t="shared" si="1"/>
        <v>156</v>
      </c>
      <c r="AJ7" s="14">
        <f t="shared" si="2"/>
        <v>65.822784810126578</v>
      </c>
      <c r="AK7" s="15"/>
      <c r="AL7" s="15"/>
      <c r="AM7" s="15"/>
      <c r="AN7" s="15"/>
      <c r="AO7" s="15"/>
    </row>
    <row r="8" spans="1:41" ht="15.75" customHeight="1">
      <c r="A8" s="3">
        <v>4</v>
      </c>
      <c r="B8" s="4" t="s">
        <v>31</v>
      </c>
      <c r="C8" s="5" t="s">
        <v>32</v>
      </c>
      <c r="D8" s="6">
        <v>20</v>
      </c>
      <c r="E8" s="7">
        <v>20</v>
      </c>
      <c r="F8" s="8">
        <v>21</v>
      </c>
      <c r="G8" s="22">
        <v>21</v>
      </c>
      <c r="H8" s="9">
        <v>17</v>
      </c>
      <c r="I8" s="10">
        <v>17</v>
      </c>
      <c r="J8" s="6">
        <v>19</v>
      </c>
      <c r="K8" s="7">
        <v>17</v>
      </c>
      <c r="L8" s="11">
        <v>22</v>
      </c>
      <c r="M8" s="6">
        <v>21</v>
      </c>
      <c r="N8" s="12">
        <v>23</v>
      </c>
      <c r="O8" s="12">
        <v>23</v>
      </c>
      <c r="P8" s="6">
        <v>18</v>
      </c>
      <c r="Q8" s="6">
        <v>18</v>
      </c>
      <c r="R8" s="23">
        <v>12</v>
      </c>
      <c r="S8" s="23">
        <v>12</v>
      </c>
      <c r="T8" s="6">
        <v>12</v>
      </c>
      <c r="U8" s="7">
        <v>12</v>
      </c>
      <c r="V8" s="24">
        <v>6</v>
      </c>
      <c r="W8" s="24">
        <v>6</v>
      </c>
      <c r="X8" s="7">
        <v>5</v>
      </c>
      <c r="Y8" s="7">
        <v>5</v>
      </c>
      <c r="Z8" s="13">
        <v>22</v>
      </c>
      <c r="AA8" s="13">
        <v>20</v>
      </c>
      <c r="AB8" s="13">
        <v>11</v>
      </c>
      <c r="AC8" s="7">
        <v>10</v>
      </c>
      <c r="AD8" s="7">
        <v>26</v>
      </c>
      <c r="AE8" s="7">
        <v>26</v>
      </c>
      <c r="AF8" s="8">
        <v>3</v>
      </c>
      <c r="AG8" s="12">
        <v>3</v>
      </c>
      <c r="AH8" s="9">
        <f t="shared" si="0"/>
        <v>237</v>
      </c>
      <c r="AI8" s="10">
        <f t="shared" si="1"/>
        <v>231</v>
      </c>
      <c r="AJ8" s="14">
        <f t="shared" si="2"/>
        <v>97.468354430379748</v>
      </c>
      <c r="AK8" s="15"/>
      <c r="AL8" s="15"/>
      <c r="AM8" s="15"/>
      <c r="AN8" s="15"/>
      <c r="AO8" s="15"/>
    </row>
    <row r="9" spans="1:41" ht="15.75" customHeight="1">
      <c r="A9" s="3">
        <v>5</v>
      </c>
      <c r="B9" s="4" t="s">
        <v>33</v>
      </c>
      <c r="C9" s="5" t="s">
        <v>34</v>
      </c>
      <c r="D9" s="6">
        <v>20</v>
      </c>
      <c r="E9" s="7">
        <v>18</v>
      </c>
      <c r="F9" s="8">
        <v>21</v>
      </c>
      <c r="G9" s="22">
        <v>17</v>
      </c>
      <c r="H9" s="9">
        <v>17</v>
      </c>
      <c r="I9" s="10">
        <v>13</v>
      </c>
      <c r="J9" s="6">
        <v>19</v>
      </c>
      <c r="K9" s="7">
        <v>16</v>
      </c>
      <c r="L9" s="11">
        <v>22</v>
      </c>
      <c r="M9" s="6">
        <v>18</v>
      </c>
      <c r="N9" s="12">
        <v>23</v>
      </c>
      <c r="O9" s="12">
        <v>20</v>
      </c>
      <c r="P9" s="6">
        <v>18</v>
      </c>
      <c r="Q9" s="6">
        <v>15</v>
      </c>
      <c r="R9" s="23">
        <v>12</v>
      </c>
      <c r="S9" s="23">
        <v>10</v>
      </c>
      <c r="T9" s="6">
        <v>12</v>
      </c>
      <c r="U9" s="7">
        <v>12</v>
      </c>
      <c r="V9" s="24">
        <v>6</v>
      </c>
      <c r="W9" s="24">
        <v>5</v>
      </c>
      <c r="X9" s="7">
        <v>5</v>
      </c>
      <c r="Y9" s="7">
        <v>4</v>
      </c>
      <c r="Z9" s="13">
        <v>22</v>
      </c>
      <c r="AA9" s="13">
        <v>14</v>
      </c>
      <c r="AB9" s="13">
        <v>11</v>
      </c>
      <c r="AC9" s="7">
        <v>7</v>
      </c>
      <c r="AD9" s="7">
        <v>26</v>
      </c>
      <c r="AE9" s="7">
        <v>18</v>
      </c>
      <c r="AF9" s="8">
        <v>3</v>
      </c>
      <c r="AG9" s="12">
        <v>3</v>
      </c>
      <c r="AH9" s="9">
        <f t="shared" si="0"/>
        <v>237</v>
      </c>
      <c r="AI9" s="10">
        <f t="shared" si="1"/>
        <v>190</v>
      </c>
      <c r="AJ9" s="14">
        <f t="shared" si="2"/>
        <v>80.168776371308013</v>
      </c>
      <c r="AK9" s="15"/>
      <c r="AL9" s="15"/>
      <c r="AM9" s="15"/>
      <c r="AN9" s="15"/>
      <c r="AO9" s="15"/>
    </row>
    <row r="10" spans="1:41" ht="15.75" customHeight="1">
      <c r="A10" s="3">
        <v>6</v>
      </c>
      <c r="B10" s="4" t="s">
        <v>35</v>
      </c>
      <c r="C10" s="5" t="s">
        <v>36</v>
      </c>
      <c r="D10" s="6">
        <v>20</v>
      </c>
      <c r="E10" s="7">
        <v>18</v>
      </c>
      <c r="F10" s="8">
        <v>21</v>
      </c>
      <c r="G10" s="22">
        <v>14</v>
      </c>
      <c r="H10" s="9">
        <v>17</v>
      </c>
      <c r="I10" s="10">
        <v>13</v>
      </c>
      <c r="J10" s="6">
        <v>19</v>
      </c>
      <c r="K10" s="7">
        <v>15</v>
      </c>
      <c r="L10" s="11">
        <v>22</v>
      </c>
      <c r="M10" s="6">
        <v>16</v>
      </c>
      <c r="N10" s="12">
        <v>23</v>
      </c>
      <c r="O10" s="12">
        <v>16</v>
      </c>
      <c r="P10" s="6">
        <v>18</v>
      </c>
      <c r="Q10" s="6">
        <v>12</v>
      </c>
      <c r="R10" s="23">
        <v>12</v>
      </c>
      <c r="S10" s="23">
        <v>10</v>
      </c>
      <c r="T10" s="6">
        <v>12</v>
      </c>
      <c r="U10" s="7">
        <v>12</v>
      </c>
      <c r="V10" s="24">
        <v>6</v>
      </c>
      <c r="W10" s="24">
        <v>5</v>
      </c>
      <c r="X10" s="7">
        <v>5</v>
      </c>
      <c r="Y10" s="7">
        <v>4</v>
      </c>
      <c r="Z10" s="13">
        <v>22</v>
      </c>
      <c r="AA10" s="13">
        <v>8</v>
      </c>
      <c r="AB10" s="13">
        <v>11</v>
      </c>
      <c r="AC10" s="7">
        <v>4</v>
      </c>
      <c r="AD10" s="7">
        <v>26</v>
      </c>
      <c r="AE10" s="7">
        <v>16</v>
      </c>
      <c r="AF10" s="8">
        <v>3</v>
      </c>
      <c r="AG10" s="12">
        <v>2</v>
      </c>
      <c r="AH10" s="9">
        <f t="shared" si="0"/>
        <v>237</v>
      </c>
      <c r="AI10" s="10">
        <f t="shared" si="1"/>
        <v>165</v>
      </c>
      <c r="AJ10" s="14">
        <f t="shared" si="2"/>
        <v>69.620253164556971</v>
      </c>
      <c r="AK10" s="15"/>
      <c r="AL10" s="15"/>
      <c r="AM10" s="15"/>
      <c r="AN10" s="15"/>
      <c r="AO10" s="15"/>
    </row>
    <row r="11" spans="1:41" ht="15.75" customHeight="1">
      <c r="A11" s="3">
        <v>7</v>
      </c>
      <c r="B11" s="4" t="s">
        <v>37</v>
      </c>
      <c r="C11" s="5" t="s">
        <v>38</v>
      </c>
      <c r="D11" s="6">
        <v>20</v>
      </c>
      <c r="E11" s="7">
        <v>16</v>
      </c>
      <c r="F11" s="8">
        <v>21</v>
      </c>
      <c r="G11" s="22">
        <v>15</v>
      </c>
      <c r="H11" s="9">
        <v>17</v>
      </c>
      <c r="I11" s="10">
        <v>11</v>
      </c>
      <c r="J11" s="6">
        <v>19</v>
      </c>
      <c r="K11" s="7">
        <v>15</v>
      </c>
      <c r="L11" s="11">
        <v>22</v>
      </c>
      <c r="M11" s="6">
        <v>17</v>
      </c>
      <c r="N11" s="12">
        <v>23</v>
      </c>
      <c r="O11" s="12">
        <v>18</v>
      </c>
      <c r="P11" s="6">
        <v>18</v>
      </c>
      <c r="Q11" s="6">
        <v>12</v>
      </c>
      <c r="R11" s="23">
        <v>12</v>
      </c>
      <c r="S11" s="23">
        <v>10</v>
      </c>
      <c r="T11" s="6">
        <v>12</v>
      </c>
      <c r="U11" s="7">
        <v>12</v>
      </c>
      <c r="V11" s="24">
        <v>6</v>
      </c>
      <c r="W11" s="24">
        <v>5</v>
      </c>
      <c r="X11" s="7">
        <v>5</v>
      </c>
      <c r="Y11" s="7">
        <v>2</v>
      </c>
      <c r="Z11" s="13">
        <v>22</v>
      </c>
      <c r="AA11" s="13">
        <v>8</v>
      </c>
      <c r="AB11" s="13">
        <v>11</v>
      </c>
      <c r="AC11" s="7">
        <v>4</v>
      </c>
      <c r="AD11" s="7">
        <v>26</v>
      </c>
      <c r="AE11" s="7">
        <v>23</v>
      </c>
      <c r="AF11" s="8">
        <v>3</v>
      </c>
      <c r="AG11" s="12">
        <v>3</v>
      </c>
      <c r="AH11" s="9">
        <f t="shared" si="0"/>
        <v>237</v>
      </c>
      <c r="AI11" s="10">
        <f t="shared" si="1"/>
        <v>171</v>
      </c>
      <c r="AJ11" s="14">
        <f t="shared" si="2"/>
        <v>72.151898734177209</v>
      </c>
      <c r="AK11" s="15"/>
      <c r="AL11" s="15"/>
      <c r="AM11" s="15"/>
      <c r="AN11" s="15"/>
      <c r="AO11" s="15"/>
    </row>
    <row r="12" spans="1:41" ht="15.75" customHeight="1">
      <c r="A12" s="3">
        <v>8</v>
      </c>
      <c r="B12" s="4" t="s">
        <v>39</v>
      </c>
      <c r="C12" s="5" t="s">
        <v>40</v>
      </c>
      <c r="D12" s="6">
        <v>20</v>
      </c>
      <c r="E12" s="7">
        <v>16</v>
      </c>
      <c r="F12" s="8">
        <v>21</v>
      </c>
      <c r="G12" s="22">
        <v>17</v>
      </c>
      <c r="H12" s="9">
        <v>17</v>
      </c>
      <c r="I12" s="10">
        <v>11</v>
      </c>
      <c r="J12" s="6">
        <v>19</v>
      </c>
      <c r="K12" s="7">
        <v>15</v>
      </c>
      <c r="L12" s="11">
        <v>22</v>
      </c>
      <c r="M12" s="6">
        <v>18</v>
      </c>
      <c r="N12" s="12">
        <v>23</v>
      </c>
      <c r="O12" s="12">
        <v>17</v>
      </c>
      <c r="P12" s="6">
        <v>18</v>
      </c>
      <c r="Q12" s="6">
        <v>12</v>
      </c>
      <c r="R12" s="23">
        <v>12</v>
      </c>
      <c r="S12" s="23">
        <v>10</v>
      </c>
      <c r="T12" s="6">
        <v>12</v>
      </c>
      <c r="U12" s="7">
        <v>12</v>
      </c>
      <c r="V12" s="24">
        <v>6</v>
      </c>
      <c r="W12" s="24">
        <v>5</v>
      </c>
      <c r="X12" s="7">
        <v>5</v>
      </c>
      <c r="Y12" s="7">
        <v>2</v>
      </c>
      <c r="Z12" s="13">
        <v>22</v>
      </c>
      <c r="AA12" s="13">
        <v>8</v>
      </c>
      <c r="AB12" s="13">
        <v>11</v>
      </c>
      <c r="AC12" s="7">
        <v>4</v>
      </c>
      <c r="AD12" s="7">
        <v>26</v>
      </c>
      <c r="AE12" s="7">
        <v>21</v>
      </c>
      <c r="AF12" s="8">
        <v>3</v>
      </c>
      <c r="AG12" s="12">
        <v>3</v>
      </c>
      <c r="AH12" s="9">
        <f t="shared" si="0"/>
        <v>237</v>
      </c>
      <c r="AI12" s="10">
        <f t="shared" si="1"/>
        <v>171</v>
      </c>
      <c r="AJ12" s="14">
        <f t="shared" si="2"/>
        <v>72.151898734177209</v>
      </c>
      <c r="AK12" s="15"/>
      <c r="AL12" s="15"/>
      <c r="AM12" s="15"/>
      <c r="AN12" s="15"/>
      <c r="AO12" s="15"/>
    </row>
    <row r="13" spans="1:41" ht="15.75" customHeight="1">
      <c r="A13" s="3">
        <v>9</v>
      </c>
      <c r="B13" s="4" t="s">
        <v>41</v>
      </c>
      <c r="C13" s="5" t="s">
        <v>42</v>
      </c>
      <c r="D13" s="6">
        <v>20</v>
      </c>
      <c r="E13" s="7">
        <v>16</v>
      </c>
      <c r="F13" s="8">
        <v>21</v>
      </c>
      <c r="G13" s="22">
        <v>18</v>
      </c>
      <c r="H13" s="9">
        <v>17</v>
      </c>
      <c r="I13" s="10">
        <v>14</v>
      </c>
      <c r="J13" s="6">
        <v>19</v>
      </c>
      <c r="K13" s="7">
        <v>16</v>
      </c>
      <c r="L13" s="11">
        <v>22</v>
      </c>
      <c r="M13" s="6">
        <v>15</v>
      </c>
      <c r="N13" s="12">
        <v>23</v>
      </c>
      <c r="O13" s="12">
        <v>17</v>
      </c>
      <c r="P13" s="6">
        <v>18</v>
      </c>
      <c r="Q13" s="6">
        <v>15</v>
      </c>
      <c r="R13" s="23">
        <v>12</v>
      </c>
      <c r="S13" s="23">
        <v>12</v>
      </c>
      <c r="T13" s="6">
        <v>12</v>
      </c>
      <c r="U13" s="7">
        <v>12</v>
      </c>
      <c r="V13" s="24">
        <v>6</v>
      </c>
      <c r="W13" s="24">
        <v>6</v>
      </c>
      <c r="X13" s="7">
        <v>5</v>
      </c>
      <c r="Y13" s="7">
        <v>4</v>
      </c>
      <c r="Z13" s="13">
        <v>22</v>
      </c>
      <c r="AA13" s="13">
        <v>10</v>
      </c>
      <c r="AB13" s="13">
        <v>11</v>
      </c>
      <c r="AC13" s="7">
        <v>5</v>
      </c>
      <c r="AD13" s="7">
        <v>26</v>
      </c>
      <c r="AE13" s="7">
        <v>16</v>
      </c>
      <c r="AF13" s="8">
        <v>3</v>
      </c>
      <c r="AG13" s="12">
        <v>1</v>
      </c>
      <c r="AH13" s="9">
        <f t="shared" si="0"/>
        <v>237</v>
      </c>
      <c r="AI13" s="10">
        <f t="shared" si="1"/>
        <v>177</v>
      </c>
      <c r="AJ13" s="14">
        <f t="shared" si="2"/>
        <v>74.683544303797461</v>
      </c>
      <c r="AK13" s="15"/>
      <c r="AL13" s="15"/>
      <c r="AM13" s="15"/>
      <c r="AN13" s="15"/>
      <c r="AO13" s="15"/>
    </row>
    <row r="14" spans="1:41" ht="15.75" customHeight="1">
      <c r="A14" s="3">
        <v>10</v>
      </c>
      <c r="B14" s="4" t="s">
        <v>43</v>
      </c>
      <c r="C14" s="5" t="s">
        <v>44</v>
      </c>
      <c r="D14" s="6">
        <v>20</v>
      </c>
      <c r="E14" s="7">
        <v>19</v>
      </c>
      <c r="F14" s="8">
        <v>21</v>
      </c>
      <c r="G14" s="22">
        <v>17</v>
      </c>
      <c r="H14" s="9">
        <v>17</v>
      </c>
      <c r="I14" s="10">
        <v>14</v>
      </c>
      <c r="J14" s="6">
        <v>19</v>
      </c>
      <c r="K14" s="7">
        <v>17</v>
      </c>
      <c r="L14" s="11">
        <v>22</v>
      </c>
      <c r="M14" s="6">
        <v>17</v>
      </c>
      <c r="N14" s="12">
        <v>23</v>
      </c>
      <c r="O14" s="12">
        <v>17</v>
      </c>
      <c r="P14" s="6">
        <v>18</v>
      </c>
      <c r="Q14" s="6">
        <v>12</v>
      </c>
      <c r="R14" s="23">
        <v>12</v>
      </c>
      <c r="S14" s="23">
        <v>12</v>
      </c>
      <c r="T14" s="6">
        <v>12</v>
      </c>
      <c r="U14" s="7">
        <v>9</v>
      </c>
      <c r="V14" s="24">
        <v>6</v>
      </c>
      <c r="W14" s="24">
        <v>6</v>
      </c>
      <c r="X14" s="7">
        <v>5</v>
      </c>
      <c r="Y14" s="7">
        <v>4</v>
      </c>
      <c r="Z14" s="13">
        <v>22</v>
      </c>
      <c r="AA14" s="13">
        <v>10</v>
      </c>
      <c r="AB14" s="13">
        <v>11</v>
      </c>
      <c r="AC14" s="7">
        <v>5</v>
      </c>
      <c r="AD14" s="7">
        <v>26</v>
      </c>
      <c r="AE14" s="7">
        <v>20</v>
      </c>
      <c r="AF14" s="8">
        <v>3</v>
      </c>
      <c r="AG14" s="12">
        <v>2</v>
      </c>
      <c r="AH14" s="9">
        <f t="shared" si="0"/>
        <v>237</v>
      </c>
      <c r="AI14" s="10">
        <f t="shared" si="1"/>
        <v>181</v>
      </c>
      <c r="AJ14" s="14">
        <f t="shared" si="2"/>
        <v>76.371308016877634</v>
      </c>
      <c r="AK14" s="15"/>
      <c r="AL14" s="15"/>
      <c r="AM14" s="15"/>
      <c r="AN14" s="15"/>
      <c r="AO14" s="15"/>
    </row>
    <row r="15" spans="1:41" ht="15.75" customHeight="1">
      <c r="A15" s="3">
        <v>11</v>
      </c>
      <c r="B15" s="4" t="s">
        <v>45</v>
      </c>
      <c r="C15" s="5" t="s">
        <v>46</v>
      </c>
      <c r="D15" s="6">
        <v>20</v>
      </c>
      <c r="E15" s="7">
        <v>18</v>
      </c>
      <c r="F15" s="8">
        <v>21</v>
      </c>
      <c r="G15" s="22">
        <v>18</v>
      </c>
      <c r="H15" s="9">
        <v>17</v>
      </c>
      <c r="I15" s="10">
        <v>15</v>
      </c>
      <c r="J15" s="6">
        <v>19</v>
      </c>
      <c r="K15" s="7">
        <v>18</v>
      </c>
      <c r="L15" s="11">
        <v>22</v>
      </c>
      <c r="M15" s="6">
        <v>20</v>
      </c>
      <c r="N15" s="12">
        <v>23</v>
      </c>
      <c r="O15" s="12">
        <v>21</v>
      </c>
      <c r="P15" s="6">
        <v>18</v>
      </c>
      <c r="Q15" s="6">
        <v>18</v>
      </c>
      <c r="R15" s="23">
        <v>12</v>
      </c>
      <c r="S15" s="23">
        <v>12</v>
      </c>
      <c r="T15" s="6">
        <v>12</v>
      </c>
      <c r="U15" s="7">
        <v>12</v>
      </c>
      <c r="V15" s="24">
        <v>6</v>
      </c>
      <c r="W15" s="24">
        <v>6</v>
      </c>
      <c r="X15" s="7">
        <v>5</v>
      </c>
      <c r="Y15" s="7">
        <v>3</v>
      </c>
      <c r="Z15" s="13">
        <v>22</v>
      </c>
      <c r="AA15" s="13">
        <v>14</v>
      </c>
      <c r="AB15" s="13">
        <v>11</v>
      </c>
      <c r="AC15" s="7">
        <v>7</v>
      </c>
      <c r="AD15" s="7">
        <v>26</v>
      </c>
      <c r="AE15" s="7">
        <v>23</v>
      </c>
      <c r="AF15" s="8">
        <v>3</v>
      </c>
      <c r="AG15" s="12">
        <v>1</v>
      </c>
      <c r="AH15" s="9">
        <f t="shared" si="0"/>
        <v>237</v>
      </c>
      <c r="AI15" s="10">
        <f t="shared" si="1"/>
        <v>206</v>
      </c>
      <c r="AJ15" s="14">
        <f t="shared" si="2"/>
        <v>86.919831223628691</v>
      </c>
      <c r="AK15" s="15"/>
      <c r="AL15" s="15"/>
      <c r="AM15" s="15"/>
      <c r="AN15" s="15"/>
      <c r="AO15" s="15"/>
    </row>
    <row r="16" spans="1:41" ht="15.75" customHeight="1">
      <c r="A16" s="3">
        <v>12</v>
      </c>
      <c r="B16" s="4" t="s">
        <v>47</v>
      </c>
      <c r="C16" s="5" t="s">
        <v>48</v>
      </c>
      <c r="D16" s="6">
        <v>20</v>
      </c>
      <c r="E16" s="7">
        <v>14</v>
      </c>
      <c r="F16" s="8">
        <v>21</v>
      </c>
      <c r="G16" s="22">
        <v>18</v>
      </c>
      <c r="H16" s="9">
        <v>17</v>
      </c>
      <c r="I16" s="10">
        <v>11</v>
      </c>
      <c r="J16" s="6">
        <v>19</v>
      </c>
      <c r="K16" s="7">
        <v>14</v>
      </c>
      <c r="L16" s="11">
        <v>22</v>
      </c>
      <c r="M16" s="6">
        <v>13</v>
      </c>
      <c r="N16" s="12">
        <v>23</v>
      </c>
      <c r="O16" s="12">
        <v>17</v>
      </c>
      <c r="P16" s="6">
        <v>18</v>
      </c>
      <c r="Q16" s="6">
        <v>9</v>
      </c>
      <c r="R16" s="23">
        <v>12</v>
      </c>
      <c r="S16" s="23">
        <v>12</v>
      </c>
      <c r="T16" s="6">
        <v>12</v>
      </c>
      <c r="U16" s="7">
        <v>12</v>
      </c>
      <c r="V16" s="24">
        <v>6</v>
      </c>
      <c r="W16" s="24">
        <v>6</v>
      </c>
      <c r="X16" s="7">
        <v>5</v>
      </c>
      <c r="Y16" s="7">
        <v>5</v>
      </c>
      <c r="Z16" s="13">
        <v>22</v>
      </c>
      <c r="AA16" s="13">
        <v>18</v>
      </c>
      <c r="AB16" s="13">
        <v>11</v>
      </c>
      <c r="AC16" s="7">
        <v>9</v>
      </c>
      <c r="AD16" s="7">
        <v>26</v>
      </c>
      <c r="AE16" s="7">
        <v>18</v>
      </c>
      <c r="AF16" s="8">
        <v>3</v>
      </c>
      <c r="AG16" s="12">
        <v>1</v>
      </c>
      <c r="AH16" s="9">
        <f t="shared" si="0"/>
        <v>237</v>
      </c>
      <c r="AI16" s="10">
        <f t="shared" si="1"/>
        <v>177</v>
      </c>
      <c r="AJ16" s="14">
        <f t="shared" si="2"/>
        <v>74.683544303797461</v>
      </c>
      <c r="AK16" s="15"/>
      <c r="AL16" s="15"/>
      <c r="AM16" s="15"/>
      <c r="AN16" s="15"/>
      <c r="AO16" s="15"/>
    </row>
    <row r="17" spans="1:41" ht="15.75" customHeight="1">
      <c r="A17" s="3">
        <v>13</v>
      </c>
      <c r="B17" s="4" t="s">
        <v>49</v>
      </c>
      <c r="C17" s="5" t="s">
        <v>50</v>
      </c>
      <c r="D17" s="6">
        <v>20</v>
      </c>
      <c r="E17" s="7">
        <v>15</v>
      </c>
      <c r="F17" s="8">
        <v>21</v>
      </c>
      <c r="G17" s="22">
        <v>17</v>
      </c>
      <c r="H17" s="9">
        <v>17</v>
      </c>
      <c r="I17" s="10">
        <v>11</v>
      </c>
      <c r="J17" s="6">
        <v>19</v>
      </c>
      <c r="K17" s="7">
        <v>14</v>
      </c>
      <c r="L17" s="11">
        <v>22</v>
      </c>
      <c r="M17" s="6">
        <v>15</v>
      </c>
      <c r="N17" s="12">
        <v>23</v>
      </c>
      <c r="O17" s="12">
        <v>16</v>
      </c>
      <c r="P17" s="6">
        <v>18</v>
      </c>
      <c r="Q17" s="6">
        <v>12</v>
      </c>
      <c r="R17" s="23">
        <v>12</v>
      </c>
      <c r="S17" s="23">
        <v>10</v>
      </c>
      <c r="T17" s="6">
        <v>12</v>
      </c>
      <c r="U17" s="7">
        <v>9</v>
      </c>
      <c r="V17" s="24">
        <v>6</v>
      </c>
      <c r="W17" s="24">
        <v>5</v>
      </c>
      <c r="X17" s="7">
        <v>5</v>
      </c>
      <c r="Y17" s="7">
        <v>3</v>
      </c>
      <c r="Z17" s="13">
        <v>22</v>
      </c>
      <c r="AA17" s="13">
        <v>10</v>
      </c>
      <c r="AB17" s="13">
        <v>11</v>
      </c>
      <c r="AC17" s="7">
        <v>5</v>
      </c>
      <c r="AD17" s="7">
        <v>26</v>
      </c>
      <c r="AE17" s="7">
        <v>21</v>
      </c>
      <c r="AF17" s="8">
        <v>3</v>
      </c>
      <c r="AG17" s="12">
        <v>2</v>
      </c>
      <c r="AH17" s="9">
        <f t="shared" si="0"/>
        <v>237</v>
      </c>
      <c r="AI17" s="10">
        <f t="shared" si="1"/>
        <v>165</v>
      </c>
      <c r="AJ17" s="14">
        <f t="shared" si="2"/>
        <v>69.620253164556971</v>
      </c>
      <c r="AK17" s="15"/>
      <c r="AL17" s="15"/>
      <c r="AM17" s="15"/>
      <c r="AN17" s="15"/>
      <c r="AO17" s="15"/>
    </row>
    <row r="18" spans="1:41" ht="15.75" customHeight="1">
      <c r="A18" s="3">
        <v>14</v>
      </c>
      <c r="B18" s="4" t="s">
        <v>51</v>
      </c>
      <c r="C18" s="5" t="s">
        <v>52</v>
      </c>
      <c r="D18" s="6">
        <v>20</v>
      </c>
      <c r="E18" s="7">
        <v>14</v>
      </c>
      <c r="F18" s="8">
        <v>21</v>
      </c>
      <c r="G18" s="22">
        <v>18</v>
      </c>
      <c r="H18" s="9">
        <v>17</v>
      </c>
      <c r="I18" s="10">
        <v>10</v>
      </c>
      <c r="J18" s="6">
        <v>19</v>
      </c>
      <c r="K18" s="7">
        <v>14</v>
      </c>
      <c r="L18" s="11">
        <v>22</v>
      </c>
      <c r="M18" s="6">
        <v>14</v>
      </c>
      <c r="N18" s="12">
        <v>23</v>
      </c>
      <c r="O18" s="12">
        <v>16</v>
      </c>
      <c r="P18" s="6">
        <v>18</v>
      </c>
      <c r="Q18" s="6">
        <v>12</v>
      </c>
      <c r="R18" s="23">
        <v>12</v>
      </c>
      <c r="S18" s="23">
        <v>12</v>
      </c>
      <c r="T18" s="6">
        <v>12</v>
      </c>
      <c r="U18" s="7">
        <v>12</v>
      </c>
      <c r="V18" s="24">
        <v>6</v>
      </c>
      <c r="W18" s="24">
        <v>6</v>
      </c>
      <c r="X18" s="7">
        <v>5</v>
      </c>
      <c r="Y18" s="7">
        <v>4</v>
      </c>
      <c r="Z18" s="13">
        <v>22</v>
      </c>
      <c r="AA18" s="13">
        <v>14</v>
      </c>
      <c r="AB18" s="13">
        <v>11</v>
      </c>
      <c r="AC18" s="7">
        <v>7</v>
      </c>
      <c r="AD18" s="7">
        <v>26</v>
      </c>
      <c r="AE18" s="7">
        <v>19</v>
      </c>
      <c r="AF18" s="8">
        <v>3</v>
      </c>
      <c r="AG18" s="12">
        <v>1</v>
      </c>
      <c r="AH18" s="9">
        <f t="shared" si="0"/>
        <v>237</v>
      </c>
      <c r="AI18" s="10">
        <f t="shared" si="1"/>
        <v>173</v>
      </c>
      <c r="AJ18" s="14">
        <f t="shared" si="2"/>
        <v>72.995780590717303</v>
      </c>
      <c r="AK18" s="15"/>
      <c r="AL18" s="15"/>
      <c r="AM18" s="15"/>
      <c r="AN18" s="15"/>
      <c r="AO18" s="15"/>
    </row>
    <row r="19" spans="1:41" ht="15.75" customHeight="1">
      <c r="A19" s="3">
        <v>15</v>
      </c>
      <c r="B19" s="4" t="s">
        <v>53</v>
      </c>
      <c r="C19" s="5" t="s">
        <v>54</v>
      </c>
      <c r="D19" s="6">
        <v>20</v>
      </c>
      <c r="E19" s="7">
        <v>14</v>
      </c>
      <c r="F19" s="8">
        <v>21</v>
      </c>
      <c r="G19" s="22">
        <v>12</v>
      </c>
      <c r="H19" s="9">
        <v>17</v>
      </c>
      <c r="I19" s="10">
        <v>12</v>
      </c>
      <c r="J19" s="6">
        <v>19</v>
      </c>
      <c r="K19" s="7">
        <v>13</v>
      </c>
      <c r="L19" s="11">
        <v>22</v>
      </c>
      <c r="M19" s="6">
        <v>14</v>
      </c>
      <c r="N19" s="12">
        <v>23</v>
      </c>
      <c r="O19" s="12">
        <v>14</v>
      </c>
      <c r="P19" s="6">
        <v>18</v>
      </c>
      <c r="Q19" s="6">
        <v>12</v>
      </c>
      <c r="R19" s="23">
        <v>12</v>
      </c>
      <c r="S19" s="23">
        <v>12</v>
      </c>
      <c r="T19" s="6">
        <v>12</v>
      </c>
      <c r="U19" s="7">
        <v>12</v>
      </c>
      <c r="V19" s="24">
        <v>6</v>
      </c>
      <c r="W19" s="24">
        <v>6</v>
      </c>
      <c r="X19" s="7">
        <v>5</v>
      </c>
      <c r="Y19" s="7">
        <v>3</v>
      </c>
      <c r="Z19" s="13">
        <v>22</v>
      </c>
      <c r="AA19" s="13">
        <v>4</v>
      </c>
      <c r="AB19" s="13">
        <v>11</v>
      </c>
      <c r="AC19" s="7">
        <v>2</v>
      </c>
      <c r="AD19" s="7">
        <v>26</v>
      </c>
      <c r="AE19" s="7">
        <v>10</v>
      </c>
      <c r="AF19" s="8">
        <v>3</v>
      </c>
      <c r="AG19" s="12">
        <v>1</v>
      </c>
      <c r="AH19" s="9">
        <f t="shared" si="0"/>
        <v>237</v>
      </c>
      <c r="AI19" s="10">
        <f t="shared" si="1"/>
        <v>141</v>
      </c>
      <c r="AJ19" s="14">
        <f t="shared" si="2"/>
        <v>59.493670886075947</v>
      </c>
      <c r="AK19" s="15"/>
      <c r="AL19" s="15"/>
      <c r="AM19" s="15"/>
      <c r="AN19" s="15"/>
      <c r="AO19" s="15"/>
    </row>
    <row r="20" spans="1:41" ht="15.75" customHeight="1">
      <c r="A20" s="3">
        <v>16</v>
      </c>
      <c r="B20" s="4" t="s">
        <v>55</v>
      </c>
      <c r="C20" s="5" t="s">
        <v>56</v>
      </c>
      <c r="D20" s="6">
        <v>20</v>
      </c>
      <c r="E20" s="7">
        <v>14</v>
      </c>
      <c r="F20" s="8">
        <v>21</v>
      </c>
      <c r="G20" s="22">
        <v>19</v>
      </c>
      <c r="H20" s="9">
        <v>17</v>
      </c>
      <c r="I20" s="10">
        <v>12</v>
      </c>
      <c r="J20" s="6">
        <v>19</v>
      </c>
      <c r="K20" s="7">
        <v>16</v>
      </c>
      <c r="L20" s="11">
        <v>22</v>
      </c>
      <c r="M20" s="6">
        <v>14</v>
      </c>
      <c r="N20" s="12">
        <v>23</v>
      </c>
      <c r="O20" s="12">
        <v>16</v>
      </c>
      <c r="P20" s="6">
        <v>18</v>
      </c>
      <c r="Q20" s="6">
        <v>15</v>
      </c>
      <c r="R20" s="23">
        <v>12</v>
      </c>
      <c r="S20" s="23">
        <v>10</v>
      </c>
      <c r="T20" s="6">
        <v>12</v>
      </c>
      <c r="U20" s="7">
        <v>9</v>
      </c>
      <c r="V20" s="24">
        <v>6</v>
      </c>
      <c r="W20" s="24">
        <v>5</v>
      </c>
      <c r="X20" s="7">
        <v>5</v>
      </c>
      <c r="Y20" s="7">
        <v>2</v>
      </c>
      <c r="Z20" s="13">
        <v>22</v>
      </c>
      <c r="AA20" s="13">
        <v>12</v>
      </c>
      <c r="AB20" s="13">
        <v>11</v>
      </c>
      <c r="AC20" s="7">
        <v>6</v>
      </c>
      <c r="AD20" s="7">
        <v>26</v>
      </c>
      <c r="AE20" s="7">
        <v>24</v>
      </c>
      <c r="AF20" s="8">
        <v>3</v>
      </c>
      <c r="AG20" s="12">
        <v>2</v>
      </c>
      <c r="AH20" s="9">
        <f t="shared" si="0"/>
        <v>237</v>
      </c>
      <c r="AI20" s="10">
        <f t="shared" si="1"/>
        <v>176</v>
      </c>
      <c r="AJ20" s="14">
        <f t="shared" si="2"/>
        <v>74.261603375527429</v>
      </c>
      <c r="AK20" s="15"/>
      <c r="AL20" s="15"/>
      <c r="AM20" s="15"/>
      <c r="AN20" s="15"/>
      <c r="AO20" s="15"/>
    </row>
    <row r="21" spans="1:41" ht="15.75" customHeight="1">
      <c r="A21" s="3">
        <v>17</v>
      </c>
      <c r="B21" s="4" t="s">
        <v>57</v>
      </c>
      <c r="C21" s="5" t="s">
        <v>58</v>
      </c>
      <c r="D21" s="6">
        <v>20</v>
      </c>
      <c r="E21" s="7">
        <v>15</v>
      </c>
      <c r="F21" s="8">
        <v>21</v>
      </c>
      <c r="G21" s="22">
        <v>16</v>
      </c>
      <c r="H21" s="9">
        <v>17</v>
      </c>
      <c r="I21" s="10">
        <v>13</v>
      </c>
      <c r="J21" s="6">
        <v>19</v>
      </c>
      <c r="K21" s="7">
        <v>14</v>
      </c>
      <c r="L21" s="11">
        <v>22</v>
      </c>
      <c r="M21" s="6">
        <v>16</v>
      </c>
      <c r="N21" s="12">
        <v>23</v>
      </c>
      <c r="O21" s="12">
        <v>16</v>
      </c>
      <c r="P21" s="6">
        <v>18</v>
      </c>
      <c r="Q21" s="6">
        <v>12</v>
      </c>
      <c r="R21" s="23">
        <v>12</v>
      </c>
      <c r="S21" s="23">
        <v>10</v>
      </c>
      <c r="T21" s="6">
        <v>12</v>
      </c>
      <c r="U21" s="7">
        <v>9</v>
      </c>
      <c r="V21" s="24">
        <v>6</v>
      </c>
      <c r="W21" s="24">
        <v>5</v>
      </c>
      <c r="X21" s="7">
        <v>5</v>
      </c>
      <c r="Y21" s="7">
        <v>3</v>
      </c>
      <c r="Z21" s="13">
        <v>22</v>
      </c>
      <c r="AA21" s="13">
        <v>12</v>
      </c>
      <c r="AB21" s="13">
        <v>11</v>
      </c>
      <c r="AC21" s="7">
        <v>6</v>
      </c>
      <c r="AD21" s="7">
        <v>26</v>
      </c>
      <c r="AE21" s="7">
        <v>23</v>
      </c>
      <c r="AF21" s="8">
        <v>3</v>
      </c>
      <c r="AG21" s="12">
        <v>2</v>
      </c>
      <c r="AH21" s="9">
        <f t="shared" si="0"/>
        <v>237</v>
      </c>
      <c r="AI21" s="10">
        <f t="shared" si="1"/>
        <v>172</v>
      </c>
      <c r="AJ21" s="14">
        <f t="shared" si="2"/>
        <v>72.573839662447256</v>
      </c>
      <c r="AK21" s="15"/>
      <c r="AL21" s="15"/>
      <c r="AM21" s="15"/>
      <c r="AN21" s="15"/>
      <c r="AO21" s="15"/>
    </row>
    <row r="22" spans="1:41" ht="15.75" customHeight="1">
      <c r="A22" s="3">
        <v>18</v>
      </c>
      <c r="B22" s="4" t="s">
        <v>59</v>
      </c>
      <c r="C22" s="5" t="s">
        <v>60</v>
      </c>
      <c r="D22" s="6">
        <v>20</v>
      </c>
      <c r="E22" s="7">
        <v>16</v>
      </c>
      <c r="F22" s="8">
        <v>21</v>
      </c>
      <c r="G22" s="22">
        <v>19</v>
      </c>
      <c r="H22" s="9">
        <v>17</v>
      </c>
      <c r="I22" s="10">
        <v>13</v>
      </c>
      <c r="J22" s="6">
        <v>19</v>
      </c>
      <c r="K22" s="7">
        <v>17</v>
      </c>
      <c r="L22" s="11">
        <v>22</v>
      </c>
      <c r="M22" s="6">
        <v>17</v>
      </c>
      <c r="N22" s="12">
        <v>23</v>
      </c>
      <c r="O22" s="12">
        <v>18</v>
      </c>
      <c r="P22" s="6">
        <v>18</v>
      </c>
      <c r="Q22" s="6">
        <v>18</v>
      </c>
      <c r="R22" s="23">
        <v>12</v>
      </c>
      <c r="S22" s="23">
        <v>12</v>
      </c>
      <c r="T22" s="6">
        <v>12</v>
      </c>
      <c r="U22" s="7">
        <v>9</v>
      </c>
      <c r="V22" s="24">
        <v>6</v>
      </c>
      <c r="W22" s="24">
        <v>6</v>
      </c>
      <c r="X22" s="7">
        <v>5</v>
      </c>
      <c r="Y22" s="7">
        <v>2</v>
      </c>
      <c r="Z22" s="13">
        <v>22</v>
      </c>
      <c r="AA22" s="13">
        <v>14</v>
      </c>
      <c r="AB22" s="13">
        <v>11</v>
      </c>
      <c r="AC22" s="7">
        <v>7</v>
      </c>
      <c r="AD22" s="7">
        <v>26</v>
      </c>
      <c r="AE22" s="7">
        <v>21</v>
      </c>
      <c r="AF22" s="8">
        <v>3</v>
      </c>
      <c r="AG22" s="12">
        <v>2</v>
      </c>
      <c r="AH22" s="9">
        <f t="shared" si="0"/>
        <v>237</v>
      </c>
      <c r="AI22" s="10">
        <f t="shared" si="1"/>
        <v>191</v>
      </c>
      <c r="AJ22" s="14">
        <f t="shared" si="2"/>
        <v>80.59071729957806</v>
      </c>
      <c r="AK22" s="15"/>
      <c r="AL22" s="15"/>
      <c r="AM22" s="15"/>
      <c r="AN22" s="15"/>
      <c r="AO22" s="15"/>
    </row>
    <row r="23" spans="1:41" ht="15.75" customHeight="1">
      <c r="A23" s="3">
        <v>19</v>
      </c>
      <c r="B23" s="4" t="s">
        <v>61</v>
      </c>
      <c r="C23" s="5" t="s">
        <v>62</v>
      </c>
      <c r="D23" s="6">
        <v>20</v>
      </c>
      <c r="E23" s="7">
        <v>18</v>
      </c>
      <c r="F23" s="8">
        <v>21</v>
      </c>
      <c r="G23" s="22">
        <v>19</v>
      </c>
      <c r="H23" s="9">
        <v>17</v>
      </c>
      <c r="I23" s="10">
        <v>15</v>
      </c>
      <c r="J23" s="6">
        <v>19</v>
      </c>
      <c r="K23" s="7">
        <v>15</v>
      </c>
      <c r="L23" s="11">
        <v>22</v>
      </c>
      <c r="M23" s="6">
        <v>18</v>
      </c>
      <c r="N23" s="12">
        <v>23</v>
      </c>
      <c r="O23" s="12">
        <v>19</v>
      </c>
      <c r="P23" s="6">
        <v>18</v>
      </c>
      <c r="Q23" s="6">
        <v>18</v>
      </c>
      <c r="R23" s="23">
        <v>12</v>
      </c>
      <c r="S23" s="23">
        <v>12</v>
      </c>
      <c r="T23" s="6">
        <v>12</v>
      </c>
      <c r="U23" s="7">
        <v>9</v>
      </c>
      <c r="V23" s="24">
        <v>6</v>
      </c>
      <c r="W23" s="24">
        <v>6</v>
      </c>
      <c r="X23" s="7">
        <v>5</v>
      </c>
      <c r="Y23" s="7">
        <v>4</v>
      </c>
      <c r="Z23" s="13">
        <v>22</v>
      </c>
      <c r="AA23" s="13">
        <v>16</v>
      </c>
      <c r="AB23" s="13">
        <v>11</v>
      </c>
      <c r="AC23" s="7">
        <v>8</v>
      </c>
      <c r="AD23" s="7">
        <v>26</v>
      </c>
      <c r="AE23" s="7">
        <v>24</v>
      </c>
      <c r="AF23" s="8">
        <v>3</v>
      </c>
      <c r="AG23" s="12">
        <v>2</v>
      </c>
      <c r="AH23" s="9">
        <f t="shared" si="0"/>
        <v>237</v>
      </c>
      <c r="AI23" s="10">
        <f t="shared" si="1"/>
        <v>203</v>
      </c>
      <c r="AJ23" s="14">
        <f t="shared" si="2"/>
        <v>85.654008438818565</v>
      </c>
      <c r="AK23" s="15"/>
      <c r="AL23" s="15"/>
      <c r="AM23" s="15"/>
      <c r="AN23" s="15"/>
      <c r="AO23" s="15"/>
    </row>
    <row r="24" spans="1:41" ht="15.75" customHeight="1">
      <c r="A24" s="3">
        <v>20</v>
      </c>
      <c r="B24" s="4" t="s">
        <v>63</v>
      </c>
      <c r="C24" s="5" t="s">
        <v>64</v>
      </c>
      <c r="D24" s="6">
        <v>20</v>
      </c>
      <c r="E24" s="7">
        <v>14</v>
      </c>
      <c r="F24" s="8">
        <v>21</v>
      </c>
      <c r="G24" s="22">
        <v>19</v>
      </c>
      <c r="H24" s="9">
        <v>17</v>
      </c>
      <c r="I24" s="10">
        <v>11</v>
      </c>
      <c r="J24" s="6">
        <v>19</v>
      </c>
      <c r="K24" s="7">
        <v>15</v>
      </c>
      <c r="L24" s="11">
        <v>22</v>
      </c>
      <c r="M24" s="6">
        <v>14</v>
      </c>
      <c r="N24" s="12">
        <v>23</v>
      </c>
      <c r="O24" s="12">
        <v>16</v>
      </c>
      <c r="P24" s="6">
        <v>18</v>
      </c>
      <c r="Q24" s="6">
        <v>15</v>
      </c>
      <c r="R24" s="23">
        <v>12</v>
      </c>
      <c r="S24" s="23">
        <v>12</v>
      </c>
      <c r="T24" s="6">
        <v>12</v>
      </c>
      <c r="U24" s="7">
        <v>9</v>
      </c>
      <c r="V24" s="24">
        <v>6</v>
      </c>
      <c r="W24" s="24">
        <v>6</v>
      </c>
      <c r="X24" s="7">
        <v>5</v>
      </c>
      <c r="Y24" s="7">
        <v>2</v>
      </c>
      <c r="Z24" s="13">
        <v>22</v>
      </c>
      <c r="AA24" s="13">
        <v>12</v>
      </c>
      <c r="AB24" s="13">
        <v>11</v>
      </c>
      <c r="AC24" s="7">
        <v>6</v>
      </c>
      <c r="AD24" s="7">
        <v>26</v>
      </c>
      <c r="AE24" s="7">
        <v>21</v>
      </c>
      <c r="AF24" s="8">
        <v>3</v>
      </c>
      <c r="AG24" s="12">
        <v>2</v>
      </c>
      <c r="AH24" s="9">
        <f t="shared" si="0"/>
        <v>237</v>
      </c>
      <c r="AI24" s="10">
        <f t="shared" si="1"/>
        <v>174</v>
      </c>
      <c r="AJ24" s="14">
        <f t="shared" si="2"/>
        <v>73.417721518987349</v>
      </c>
      <c r="AK24" s="15"/>
      <c r="AL24" s="15"/>
      <c r="AM24" s="15"/>
      <c r="AN24" s="15">
        <v>27</v>
      </c>
      <c r="AO24" s="15"/>
    </row>
    <row r="25" spans="1:41" ht="15.75" customHeight="1">
      <c r="A25" s="3">
        <v>21</v>
      </c>
      <c r="B25" s="4" t="s">
        <v>65</v>
      </c>
      <c r="C25" s="5" t="s">
        <v>66</v>
      </c>
      <c r="D25" s="6">
        <v>20</v>
      </c>
      <c r="E25" s="7">
        <v>19</v>
      </c>
      <c r="F25" s="8">
        <v>21</v>
      </c>
      <c r="G25" s="22">
        <v>20</v>
      </c>
      <c r="H25" s="9">
        <v>17</v>
      </c>
      <c r="I25" s="16">
        <v>16</v>
      </c>
      <c r="J25" s="6">
        <v>19</v>
      </c>
      <c r="K25" s="7">
        <v>18</v>
      </c>
      <c r="L25" s="11">
        <v>22</v>
      </c>
      <c r="M25" s="6">
        <v>21</v>
      </c>
      <c r="N25" s="12">
        <v>23</v>
      </c>
      <c r="O25" s="12">
        <v>22</v>
      </c>
      <c r="P25" s="6">
        <v>18</v>
      </c>
      <c r="Q25" s="6">
        <v>18</v>
      </c>
      <c r="R25" s="23">
        <v>12</v>
      </c>
      <c r="S25" s="23">
        <v>12</v>
      </c>
      <c r="T25" s="6">
        <v>12</v>
      </c>
      <c r="U25" s="7">
        <v>12</v>
      </c>
      <c r="V25" s="24">
        <v>6</v>
      </c>
      <c r="W25" s="24">
        <v>6</v>
      </c>
      <c r="X25" s="7">
        <v>5</v>
      </c>
      <c r="Y25" s="7">
        <v>4</v>
      </c>
      <c r="Z25" s="13">
        <v>22</v>
      </c>
      <c r="AA25" s="13">
        <v>18</v>
      </c>
      <c r="AB25" s="13">
        <v>11</v>
      </c>
      <c r="AC25" s="7">
        <v>9</v>
      </c>
      <c r="AD25" s="7">
        <v>26</v>
      </c>
      <c r="AE25" s="7">
        <v>26</v>
      </c>
      <c r="AF25" s="8">
        <v>3</v>
      </c>
      <c r="AG25" s="12">
        <v>3</v>
      </c>
      <c r="AH25" s="9">
        <f t="shared" si="0"/>
        <v>237</v>
      </c>
      <c r="AI25" s="10">
        <f t="shared" si="1"/>
        <v>224</v>
      </c>
      <c r="AJ25" s="14">
        <f t="shared" si="2"/>
        <v>94.514767932489448</v>
      </c>
      <c r="AK25" s="15"/>
      <c r="AL25" s="15"/>
      <c r="AM25" s="15"/>
      <c r="AN25" s="15"/>
      <c r="AO25" s="15"/>
    </row>
    <row r="26" spans="1:41" ht="15.75" customHeight="1">
      <c r="A26" s="3">
        <v>22</v>
      </c>
      <c r="B26" s="4" t="s">
        <v>67</v>
      </c>
      <c r="C26" s="5" t="s">
        <v>68</v>
      </c>
      <c r="D26" s="6">
        <v>20</v>
      </c>
      <c r="E26" s="7">
        <v>18</v>
      </c>
      <c r="F26" s="8">
        <v>21</v>
      </c>
      <c r="G26" s="22">
        <v>20</v>
      </c>
      <c r="H26" s="9">
        <v>17</v>
      </c>
      <c r="I26" s="10">
        <v>16</v>
      </c>
      <c r="J26" s="6">
        <v>19</v>
      </c>
      <c r="K26" s="7">
        <v>18</v>
      </c>
      <c r="L26" s="11">
        <v>22</v>
      </c>
      <c r="M26" s="6">
        <v>19</v>
      </c>
      <c r="N26" s="12">
        <v>23</v>
      </c>
      <c r="O26" s="12">
        <v>21</v>
      </c>
      <c r="P26" s="6">
        <v>18</v>
      </c>
      <c r="Q26" s="6">
        <v>18</v>
      </c>
      <c r="R26" s="23">
        <v>12</v>
      </c>
      <c r="S26" s="23">
        <v>12</v>
      </c>
      <c r="T26" s="6">
        <v>12</v>
      </c>
      <c r="U26" s="7">
        <v>12</v>
      </c>
      <c r="V26" s="24">
        <v>6</v>
      </c>
      <c r="W26" s="24">
        <v>6</v>
      </c>
      <c r="X26" s="7">
        <v>5</v>
      </c>
      <c r="Y26" s="7">
        <v>5</v>
      </c>
      <c r="Z26" s="13">
        <v>22</v>
      </c>
      <c r="AA26" s="13">
        <v>18</v>
      </c>
      <c r="AB26" s="13">
        <v>11</v>
      </c>
      <c r="AC26" s="7">
        <v>9</v>
      </c>
      <c r="AD26" s="7">
        <v>26</v>
      </c>
      <c r="AE26" s="7">
        <v>26</v>
      </c>
      <c r="AF26" s="8">
        <v>3</v>
      </c>
      <c r="AG26" s="12">
        <v>3</v>
      </c>
      <c r="AH26" s="9">
        <f t="shared" si="0"/>
        <v>237</v>
      </c>
      <c r="AI26" s="10">
        <f t="shared" si="1"/>
        <v>221</v>
      </c>
      <c r="AJ26" s="14">
        <f t="shared" si="2"/>
        <v>93.248945147679336</v>
      </c>
      <c r="AK26" s="15"/>
      <c r="AL26" s="15"/>
      <c r="AM26" s="15"/>
      <c r="AN26" s="15"/>
      <c r="AO26" s="15"/>
    </row>
    <row r="27" spans="1:41" ht="15.75" customHeight="1">
      <c r="A27" s="3">
        <v>23</v>
      </c>
      <c r="B27" s="4" t="s">
        <v>69</v>
      </c>
      <c r="C27" s="5" t="s">
        <v>70</v>
      </c>
      <c r="D27" s="6">
        <v>20</v>
      </c>
      <c r="E27" s="7">
        <v>15</v>
      </c>
      <c r="F27" s="8">
        <v>21</v>
      </c>
      <c r="G27" s="22">
        <v>16</v>
      </c>
      <c r="H27" s="9">
        <v>17</v>
      </c>
      <c r="I27" s="10">
        <v>13</v>
      </c>
      <c r="J27" s="6">
        <v>19</v>
      </c>
      <c r="K27" s="7">
        <v>15</v>
      </c>
      <c r="L27" s="11">
        <v>22</v>
      </c>
      <c r="M27" s="6">
        <v>16</v>
      </c>
      <c r="N27" s="12">
        <v>23</v>
      </c>
      <c r="O27" s="12">
        <v>16</v>
      </c>
      <c r="P27" s="6">
        <v>15</v>
      </c>
      <c r="Q27" s="6">
        <v>12</v>
      </c>
      <c r="R27" s="23">
        <v>12</v>
      </c>
      <c r="S27" s="23">
        <v>12</v>
      </c>
      <c r="T27" s="6">
        <v>15</v>
      </c>
      <c r="U27" s="7">
        <v>9</v>
      </c>
      <c r="V27" s="24">
        <v>6</v>
      </c>
      <c r="W27" s="24">
        <v>6</v>
      </c>
      <c r="X27" s="7">
        <v>5</v>
      </c>
      <c r="Y27" s="7">
        <v>4</v>
      </c>
      <c r="Z27" s="13">
        <v>22</v>
      </c>
      <c r="AA27" s="13">
        <v>12</v>
      </c>
      <c r="AB27" s="13">
        <v>11</v>
      </c>
      <c r="AC27" s="7">
        <v>6</v>
      </c>
      <c r="AD27" s="7">
        <v>26</v>
      </c>
      <c r="AE27" s="7">
        <v>16</v>
      </c>
      <c r="AF27" s="8">
        <v>3</v>
      </c>
      <c r="AG27" s="12">
        <v>1</v>
      </c>
      <c r="AH27" s="9">
        <f t="shared" si="0"/>
        <v>237</v>
      </c>
      <c r="AI27" s="10">
        <f t="shared" si="1"/>
        <v>169</v>
      </c>
      <c r="AJ27" s="14">
        <f t="shared" si="2"/>
        <v>71.308016877637129</v>
      </c>
      <c r="AK27" s="15"/>
      <c r="AL27" s="15"/>
      <c r="AM27" s="15"/>
      <c r="AN27" s="15"/>
      <c r="AO27" s="15"/>
    </row>
    <row r="28" spans="1:41" ht="15.75" customHeight="1">
      <c r="A28" s="3">
        <v>24</v>
      </c>
      <c r="B28" s="4" t="s">
        <v>71</v>
      </c>
      <c r="C28" s="5" t="s">
        <v>72</v>
      </c>
      <c r="D28" s="6">
        <v>20</v>
      </c>
      <c r="E28" s="7">
        <v>16</v>
      </c>
      <c r="F28" s="8">
        <v>21</v>
      </c>
      <c r="G28" s="22">
        <v>17</v>
      </c>
      <c r="H28" s="9">
        <v>17</v>
      </c>
      <c r="I28" s="10">
        <v>13</v>
      </c>
      <c r="J28" s="6">
        <v>19</v>
      </c>
      <c r="K28" s="7">
        <v>18</v>
      </c>
      <c r="L28" s="11">
        <v>22</v>
      </c>
      <c r="M28" s="6">
        <v>16</v>
      </c>
      <c r="N28" s="12">
        <v>23</v>
      </c>
      <c r="O28" s="12">
        <v>16</v>
      </c>
      <c r="P28" s="6">
        <v>15</v>
      </c>
      <c r="Q28" s="6">
        <v>12</v>
      </c>
      <c r="R28" s="25">
        <v>12</v>
      </c>
      <c r="S28" s="25">
        <v>10</v>
      </c>
      <c r="T28" s="6">
        <v>15</v>
      </c>
      <c r="U28" s="7">
        <v>12</v>
      </c>
      <c r="V28" s="24">
        <v>6</v>
      </c>
      <c r="W28" s="24">
        <v>5</v>
      </c>
      <c r="X28" s="7">
        <v>5</v>
      </c>
      <c r="Y28" s="7">
        <v>5</v>
      </c>
      <c r="Z28" s="13">
        <v>22</v>
      </c>
      <c r="AA28" s="13">
        <v>18</v>
      </c>
      <c r="AB28" s="13">
        <v>11</v>
      </c>
      <c r="AC28" s="7">
        <v>9</v>
      </c>
      <c r="AD28" s="7">
        <v>26</v>
      </c>
      <c r="AE28" s="7">
        <v>21</v>
      </c>
      <c r="AF28" s="8">
        <v>3</v>
      </c>
      <c r="AG28" s="12">
        <v>2</v>
      </c>
      <c r="AH28" s="9">
        <f t="shared" si="0"/>
        <v>237</v>
      </c>
      <c r="AI28" s="10">
        <f t="shared" si="1"/>
        <v>190</v>
      </c>
      <c r="AJ28" s="14">
        <f t="shared" si="2"/>
        <v>80.168776371308013</v>
      </c>
      <c r="AK28" s="15"/>
      <c r="AL28" s="15"/>
      <c r="AM28" s="15"/>
      <c r="AN28" s="15"/>
      <c r="AO28" s="15"/>
    </row>
    <row r="29" spans="1:41" ht="15.75" customHeight="1">
      <c r="A29" s="3">
        <v>25</v>
      </c>
      <c r="B29" s="4" t="s">
        <v>73</v>
      </c>
      <c r="C29" s="17" t="s">
        <v>74</v>
      </c>
      <c r="D29" s="6">
        <v>20</v>
      </c>
      <c r="E29" s="7">
        <v>19</v>
      </c>
      <c r="F29" s="8">
        <v>21</v>
      </c>
      <c r="G29" s="22">
        <v>20</v>
      </c>
      <c r="H29" s="9">
        <v>17</v>
      </c>
      <c r="I29" s="10">
        <v>16</v>
      </c>
      <c r="J29" s="6">
        <v>19</v>
      </c>
      <c r="K29" s="7">
        <v>18</v>
      </c>
      <c r="L29" s="11">
        <v>22</v>
      </c>
      <c r="M29" s="6">
        <v>21</v>
      </c>
      <c r="N29" s="12">
        <v>23</v>
      </c>
      <c r="O29" s="12">
        <v>22</v>
      </c>
      <c r="P29" s="6">
        <v>15</v>
      </c>
      <c r="Q29" s="6">
        <v>15</v>
      </c>
      <c r="R29" s="23">
        <v>12</v>
      </c>
      <c r="S29" s="23">
        <v>12</v>
      </c>
      <c r="T29" s="6">
        <v>15</v>
      </c>
      <c r="U29" s="7">
        <v>12</v>
      </c>
      <c r="V29" s="24">
        <v>6</v>
      </c>
      <c r="W29" s="24">
        <v>5</v>
      </c>
      <c r="X29" s="7">
        <v>5</v>
      </c>
      <c r="Y29" s="7">
        <v>4</v>
      </c>
      <c r="Z29" s="13">
        <v>22</v>
      </c>
      <c r="AA29" s="13">
        <v>14</v>
      </c>
      <c r="AB29" s="13">
        <v>11</v>
      </c>
      <c r="AC29" s="7">
        <v>7</v>
      </c>
      <c r="AD29" s="7">
        <v>26</v>
      </c>
      <c r="AE29" s="7">
        <v>26</v>
      </c>
      <c r="AF29" s="8">
        <v>3</v>
      </c>
      <c r="AG29" s="12">
        <v>3</v>
      </c>
      <c r="AH29" s="9">
        <f t="shared" si="0"/>
        <v>237</v>
      </c>
      <c r="AI29" s="10">
        <f t="shared" si="1"/>
        <v>214</v>
      </c>
      <c r="AJ29" s="14">
        <f t="shared" si="2"/>
        <v>90.295358649789023</v>
      </c>
      <c r="AK29" s="15"/>
      <c r="AL29" s="15"/>
      <c r="AM29" s="15"/>
      <c r="AN29" s="15"/>
      <c r="AO29" s="15"/>
    </row>
    <row r="30" spans="1:41" ht="15.75" customHeight="1">
      <c r="A30" s="3">
        <v>26</v>
      </c>
      <c r="B30" s="4" t="s">
        <v>75</v>
      </c>
      <c r="C30" s="17" t="s">
        <v>76</v>
      </c>
      <c r="D30" s="6">
        <v>20</v>
      </c>
      <c r="E30" s="7">
        <v>18</v>
      </c>
      <c r="F30" s="8">
        <v>21</v>
      </c>
      <c r="G30" s="22">
        <v>17</v>
      </c>
      <c r="H30" s="9">
        <v>17</v>
      </c>
      <c r="I30" s="10">
        <v>14</v>
      </c>
      <c r="J30" s="6">
        <v>19</v>
      </c>
      <c r="K30" s="7">
        <v>16</v>
      </c>
      <c r="L30" s="11">
        <v>22</v>
      </c>
      <c r="M30" s="6">
        <v>19</v>
      </c>
      <c r="N30" s="12">
        <v>23</v>
      </c>
      <c r="O30" s="12">
        <v>20</v>
      </c>
      <c r="P30" s="6">
        <v>15</v>
      </c>
      <c r="Q30" s="6">
        <v>15</v>
      </c>
      <c r="R30" s="23">
        <v>12</v>
      </c>
      <c r="S30" s="23">
        <v>10</v>
      </c>
      <c r="T30" s="6">
        <v>15</v>
      </c>
      <c r="U30" s="7">
        <v>12</v>
      </c>
      <c r="V30" s="24">
        <v>6</v>
      </c>
      <c r="W30" s="24">
        <v>6</v>
      </c>
      <c r="X30" s="7">
        <v>5</v>
      </c>
      <c r="Y30" s="7">
        <v>5</v>
      </c>
      <c r="Z30" s="13">
        <v>22</v>
      </c>
      <c r="AA30" s="13">
        <v>14</v>
      </c>
      <c r="AB30" s="13">
        <v>11</v>
      </c>
      <c r="AC30" s="7">
        <v>7</v>
      </c>
      <c r="AD30" s="7">
        <v>26</v>
      </c>
      <c r="AE30" s="7">
        <v>23</v>
      </c>
      <c r="AF30" s="8">
        <v>3</v>
      </c>
      <c r="AG30" s="12">
        <v>3</v>
      </c>
      <c r="AH30" s="9">
        <f t="shared" si="0"/>
        <v>237</v>
      </c>
      <c r="AI30" s="10">
        <f t="shared" si="1"/>
        <v>199</v>
      </c>
      <c r="AJ30" s="14">
        <f t="shared" si="2"/>
        <v>83.966244725738392</v>
      </c>
      <c r="AK30" s="15"/>
      <c r="AL30" s="15"/>
      <c r="AM30" s="15"/>
      <c r="AN30" s="15"/>
      <c r="AO30" s="15"/>
    </row>
    <row r="31" spans="1:41" ht="15.75" customHeight="1">
      <c r="A31" s="3">
        <v>27</v>
      </c>
      <c r="B31" s="4" t="s">
        <v>77</v>
      </c>
      <c r="C31" s="17" t="s">
        <v>78</v>
      </c>
      <c r="D31" s="6">
        <v>20</v>
      </c>
      <c r="E31" s="7">
        <v>18</v>
      </c>
      <c r="F31" s="8">
        <v>21</v>
      </c>
      <c r="G31" s="22">
        <v>20</v>
      </c>
      <c r="H31" s="9">
        <v>17</v>
      </c>
      <c r="I31" s="10">
        <v>15</v>
      </c>
      <c r="J31" s="6">
        <v>19</v>
      </c>
      <c r="K31" s="7">
        <v>18</v>
      </c>
      <c r="L31" s="11">
        <v>22</v>
      </c>
      <c r="M31" s="6">
        <v>19</v>
      </c>
      <c r="N31" s="12">
        <v>23</v>
      </c>
      <c r="O31" s="12">
        <v>21</v>
      </c>
      <c r="P31" s="6">
        <v>15</v>
      </c>
      <c r="Q31" s="6">
        <v>15</v>
      </c>
      <c r="R31" s="23">
        <v>12</v>
      </c>
      <c r="S31" s="23">
        <v>12</v>
      </c>
      <c r="T31" s="6">
        <v>15</v>
      </c>
      <c r="U31" s="7">
        <v>12</v>
      </c>
      <c r="V31" s="24">
        <v>6</v>
      </c>
      <c r="W31" s="24">
        <v>6</v>
      </c>
      <c r="X31" s="7">
        <v>5</v>
      </c>
      <c r="Y31" s="7">
        <v>3</v>
      </c>
      <c r="Z31" s="13">
        <v>22</v>
      </c>
      <c r="AA31" s="13">
        <v>18</v>
      </c>
      <c r="AB31" s="13">
        <v>11</v>
      </c>
      <c r="AC31" s="7">
        <v>9</v>
      </c>
      <c r="AD31" s="7">
        <v>26</v>
      </c>
      <c r="AE31" s="7">
        <v>26</v>
      </c>
      <c r="AF31" s="8">
        <v>3</v>
      </c>
      <c r="AG31" s="12">
        <v>2</v>
      </c>
      <c r="AH31" s="9">
        <f t="shared" si="0"/>
        <v>237</v>
      </c>
      <c r="AI31" s="10">
        <f t="shared" si="1"/>
        <v>214</v>
      </c>
      <c r="AJ31" s="14">
        <f t="shared" si="2"/>
        <v>90.295358649789023</v>
      </c>
      <c r="AK31" s="15"/>
      <c r="AL31" s="15"/>
      <c r="AM31" s="15"/>
      <c r="AN31" s="15"/>
      <c r="AO31" s="15"/>
    </row>
    <row r="32" spans="1:41" ht="15.75" customHeight="1">
      <c r="A32" s="3">
        <v>28</v>
      </c>
      <c r="B32" s="4" t="s">
        <v>79</v>
      </c>
      <c r="C32" s="17" t="s">
        <v>80</v>
      </c>
      <c r="D32" s="6">
        <v>20</v>
      </c>
      <c r="E32" s="7">
        <v>18</v>
      </c>
      <c r="F32" s="8">
        <v>21</v>
      </c>
      <c r="G32" s="22">
        <v>18</v>
      </c>
      <c r="H32" s="9">
        <v>17</v>
      </c>
      <c r="I32" s="10">
        <v>15</v>
      </c>
      <c r="J32" s="6">
        <v>19</v>
      </c>
      <c r="K32" s="7">
        <v>17</v>
      </c>
      <c r="L32" s="11">
        <v>22</v>
      </c>
      <c r="M32" s="6">
        <v>19</v>
      </c>
      <c r="N32" s="12">
        <v>23</v>
      </c>
      <c r="O32" s="12">
        <v>21</v>
      </c>
      <c r="P32" s="6">
        <v>15</v>
      </c>
      <c r="Q32" s="6">
        <v>15</v>
      </c>
      <c r="R32" s="23">
        <v>12</v>
      </c>
      <c r="S32" s="23">
        <v>10</v>
      </c>
      <c r="T32" s="6">
        <v>15</v>
      </c>
      <c r="U32" s="7">
        <v>15</v>
      </c>
      <c r="V32" s="24">
        <v>6</v>
      </c>
      <c r="W32" s="24">
        <v>6</v>
      </c>
      <c r="X32" s="7">
        <v>5</v>
      </c>
      <c r="Y32" s="7">
        <v>4</v>
      </c>
      <c r="Z32" s="13">
        <v>22</v>
      </c>
      <c r="AA32" s="13">
        <v>16</v>
      </c>
      <c r="AB32" s="13">
        <v>11</v>
      </c>
      <c r="AC32" s="7">
        <v>8</v>
      </c>
      <c r="AD32" s="7">
        <v>26</v>
      </c>
      <c r="AE32" s="7">
        <v>23</v>
      </c>
      <c r="AF32" s="8">
        <v>3</v>
      </c>
      <c r="AG32" s="12">
        <v>3</v>
      </c>
      <c r="AH32" s="9">
        <f t="shared" si="0"/>
        <v>237</v>
      </c>
      <c r="AI32" s="10">
        <f t="shared" si="1"/>
        <v>208</v>
      </c>
      <c r="AJ32" s="14">
        <f t="shared" si="2"/>
        <v>87.763713080168785</v>
      </c>
      <c r="AK32" s="15"/>
      <c r="AL32" s="15"/>
      <c r="AM32" s="15"/>
      <c r="AN32" s="15"/>
      <c r="AO32" s="15"/>
    </row>
    <row r="33" spans="1:41" ht="15.75" customHeight="1">
      <c r="A33" s="3">
        <v>29</v>
      </c>
      <c r="B33" s="4" t="s">
        <v>81</v>
      </c>
      <c r="C33" s="17" t="s">
        <v>82</v>
      </c>
      <c r="D33" s="6">
        <v>20</v>
      </c>
      <c r="E33" s="7">
        <v>18</v>
      </c>
      <c r="F33" s="8">
        <v>21</v>
      </c>
      <c r="G33" s="22">
        <v>19</v>
      </c>
      <c r="H33" s="9">
        <v>17</v>
      </c>
      <c r="I33" s="10">
        <v>16</v>
      </c>
      <c r="J33" s="6">
        <v>19</v>
      </c>
      <c r="K33" s="7">
        <v>18</v>
      </c>
      <c r="L33" s="11">
        <v>22</v>
      </c>
      <c r="M33" s="6">
        <v>20</v>
      </c>
      <c r="N33" s="12">
        <v>23</v>
      </c>
      <c r="O33" s="12">
        <v>20</v>
      </c>
      <c r="P33" s="6">
        <v>15</v>
      </c>
      <c r="Q33" s="6">
        <v>15</v>
      </c>
      <c r="R33" s="23">
        <v>12</v>
      </c>
      <c r="S33" s="23">
        <v>12</v>
      </c>
      <c r="T33" s="6">
        <v>15</v>
      </c>
      <c r="U33" s="7">
        <v>12</v>
      </c>
      <c r="V33" s="24">
        <v>6</v>
      </c>
      <c r="W33" s="24">
        <v>6</v>
      </c>
      <c r="X33" s="7">
        <v>5</v>
      </c>
      <c r="Y33" s="7">
        <v>5</v>
      </c>
      <c r="Z33" s="13">
        <v>22</v>
      </c>
      <c r="AA33" s="13">
        <v>14</v>
      </c>
      <c r="AB33" s="13">
        <v>11</v>
      </c>
      <c r="AC33" s="7">
        <v>7</v>
      </c>
      <c r="AD33" s="7">
        <v>26</v>
      </c>
      <c r="AE33" s="7">
        <v>26</v>
      </c>
      <c r="AF33" s="8">
        <v>3</v>
      </c>
      <c r="AG33" s="12">
        <v>3</v>
      </c>
      <c r="AH33" s="9">
        <f t="shared" si="0"/>
        <v>237</v>
      </c>
      <c r="AI33" s="10">
        <f t="shared" si="1"/>
        <v>211</v>
      </c>
      <c r="AJ33" s="14">
        <f t="shared" si="2"/>
        <v>89.029535864978897</v>
      </c>
      <c r="AK33" s="15"/>
      <c r="AL33" s="15"/>
      <c r="AM33" s="15"/>
      <c r="AN33" s="15"/>
      <c r="AO33" s="15"/>
    </row>
    <row r="34" spans="1:41" ht="15.75" customHeight="1">
      <c r="A34" s="3">
        <v>30</v>
      </c>
      <c r="B34" s="4" t="s">
        <v>83</v>
      </c>
      <c r="C34" s="17" t="s">
        <v>84</v>
      </c>
      <c r="D34" s="6">
        <v>20</v>
      </c>
      <c r="E34" s="7">
        <v>17</v>
      </c>
      <c r="F34" s="8">
        <v>21</v>
      </c>
      <c r="G34" s="22">
        <v>17</v>
      </c>
      <c r="H34" s="9">
        <v>17</v>
      </c>
      <c r="I34" s="10">
        <v>12</v>
      </c>
      <c r="J34" s="6">
        <v>19</v>
      </c>
      <c r="K34" s="7">
        <v>18</v>
      </c>
      <c r="L34" s="11">
        <v>22</v>
      </c>
      <c r="M34" s="6">
        <v>16</v>
      </c>
      <c r="N34" s="12">
        <v>23</v>
      </c>
      <c r="O34" s="12">
        <v>21</v>
      </c>
      <c r="P34" s="6">
        <v>15</v>
      </c>
      <c r="Q34" s="6">
        <v>15</v>
      </c>
      <c r="R34" s="23">
        <v>12</v>
      </c>
      <c r="S34" s="23">
        <v>12</v>
      </c>
      <c r="T34" s="6">
        <v>15</v>
      </c>
      <c r="U34" s="7">
        <v>15</v>
      </c>
      <c r="V34" s="24">
        <v>6</v>
      </c>
      <c r="W34" s="24">
        <v>6</v>
      </c>
      <c r="X34" s="7">
        <v>5</v>
      </c>
      <c r="Y34" s="7">
        <v>5</v>
      </c>
      <c r="Z34" s="13">
        <v>22</v>
      </c>
      <c r="AA34" s="13">
        <v>20</v>
      </c>
      <c r="AB34" s="13">
        <v>11</v>
      </c>
      <c r="AC34" s="7">
        <v>10</v>
      </c>
      <c r="AD34" s="7">
        <v>26</v>
      </c>
      <c r="AE34" s="7">
        <v>20</v>
      </c>
      <c r="AF34" s="8">
        <v>3</v>
      </c>
      <c r="AG34" s="12">
        <v>1</v>
      </c>
      <c r="AH34" s="9">
        <f t="shared" si="0"/>
        <v>237</v>
      </c>
      <c r="AI34" s="10">
        <f t="shared" si="1"/>
        <v>205</v>
      </c>
      <c r="AJ34" s="14">
        <f t="shared" si="2"/>
        <v>86.497890295358644</v>
      </c>
      <c r="AK34" s="15"/>
      <c r="AL34" s="15"/>
      <c r="AM34" s="15"/>
      <c r="AN34" s="15"/>
      <c r="AO34" s="15"/>
    </row>
    <row r="35" spans="1:41" ht="15.75" customHeight="1">
      <c r="A35" s="3">
        <v>31</v>
      </c>
      <c r="B35" s="4" t="s">
        <v>85</v>
      </c>
      <c r="C35" s="17" t="s">
        <v>86</v>
      </c>
      <c r="D35" s="6">
        <v>20</v>
      </c>
      <c r="E35" s="7">
        <v>18</v>
      </c>
      <c r="F35" s="8">
        <v>21</v>
      </c>
      <c r="G35" s="22">
        <v>17</v>
      </c>
      <c r="H35" s="9">
        <v>17</v>
      </c>
      <c r="I35" s="10">
        <v>14</v>
      </c>
      <c r="J35" s="6">
        <v>19</v>
      </c>
      <c r="K35" s="7">
        <v>16</v>
      </c>
      <c r="L35" s="11">
        <v>22</v>
      </c>
      <c r="M35" s="6">
        <v>20</v>
      </c>
      <c r="N35" s="12">
        <v>23</v>
      </c>
      <c r="O35" s="12">
        <v>20</v>
      </c>
      <c r="P35" s="6">
        <v>15</v>
      </c>
      <c r="Q35" s="6">
        <v>15</v>
      </c>
      <c r="R35" s="23">
        <v>12</v>
      </c>
      <c r="S35" s="23">
        <v>12</v>
      </c>
      <c r="T35" s="6">
        <v>15</v>
      </c>
      <c r="U35" s="7">
        <v>6</v>
      </c>
      <c r="V35" s="24">
        <v>6</v>
      </c>
      <c r="W35" s="24">
        <v>6</v>
      </c>
      <c r="X35" s="7">
        <v>5</v>
      </c>
      <c r="Y35" s="7">
        <v>4</v>
      </c>
      <c r="Z35" s="13">
        <v>22</v>
      </c>
      <c r="AA35" s="13">
        <v>12</v>
      </c>
      <c r="AB35" s="13">
        <v>11</v>
      </c>
      <c r="AC35" s="7">
        <v>6</v>
      </c>
      <c r="AD35" s="7">
        <v>26</v>
      </c>
      <c r="AE35" s="7">
        <v>26</v>
      </c>
      <c r="AF35" s="8">
        <v>3</v>
      </c>
      <c r="AG35" s="12">
        <v>3</v>
      </c>
      <c r="AH35" s="9">
        <f t="shared" si="0"/>
        <v>237</v>
      </c>
      <c r="AI35" s="10">
        <f t="shared" si="1"/>
        <v>195</v>
      </c>
      <c r="AJ35" s="14">
        <f t="shared" si="2"/>
        <v>82.278481012658233</v>
      </c>
      <c r="AK35" s="15"/>
      <c r="AL35" s="15"/>
      <c r="AM35" s="15"/>
      <c r="AN35" s="15"/>
      <c r="AO35" s="15"/>
    </row>
    <row r="36" spans="1:41" ht="15.75" customHeight="1">
      <c r="A36" s="3">
        <v>32</v>
      </c>
      <c r="B36" s="4" t="s">
        <v>87</v>
      </c>
      <c r="C36" s="17" t="s">
        <v>88</v>
      </c>
      <c r="D36" s="6">
        <v>20</v>
      </c>
      <c r="E36" s="7">
        <v>18</v>
      </c>
      <c r="F36" s="8">
        <v>21</v>
      </c>
      <c r="G36" s="22">
        <v>19</v>
      </c>
      <c r="H36" s="9">
        <v>17</v>
      </c>
      <c r="I36" s="10">
        <v>14</v>
      </c>
      <c r="J36" s="6">
        <v>19</v>
      </c>
      <c r="K36" s="7">
        <v>18</v>
      </c>
      <c r="L36" s="11">
        <v>22</v>
      </c>
      <c r="M36" s="6">
        <v>19</v>
      </c>
      <c r="N36" s="12">
        <v>23</v>
      </c>
      <c r="O36" s="12">
        <v>21</v>
      </c>
      <c r="P36" s="6">
        <v>15</v>
      </c>
      <c r="Q36" s="6">
        <v>15</v>
      </c>
      <c r="R36" s="23">
        <v>12</v>
      </c>
      <c r="S36" s="23">
        <v>12</v>
      </c>
      <c r="T36" s="6">
        <v>15</v>
      </c>
      <c r="U36" s="7">
        <v>6</v>
      </c>
      <c r="V36" s="24">
        <v>6</v>
      </c>
      <c r="W36" s="24">
        <v>6</v>
      </c>
      <c r="X36" s="7">
        <v>5</v>
      </c>
      <c r="Y36" s="7">
        <v>5</v>
      </c>
      <c r="Z36" s="13">
        <v>22</v>
      </c>
      <c r="AA36" s="13">
        <v>22</v>
      </c>
      <c r="AB36" s="13">
        <v>11</v>
      </c>
      <c r="AC36" s="7">
        <v>11</v>
      </c>
      <c r="AD36" s="7">
        <v>26</v>
      </c>
      <c r="AE36" s="7">
        <v>23</v>
      </c>
      <c r="AF36" s="8">
        <v>3</v>
      </c>
      <c r="AG36" s="12">
        <v>2</v>
      </c>
      <c r="AH36" s="9">
        <f t="shared" si="0"/>
        <v>237</v>
      </c>
      <c r="AI36" s="10">
        <f t="shared" si="1"/>
        <v>211</v>
      </c>
      <c r="AJ36" s="14">
        <f t="shared" si="2"/>
        <v>89.029535864978897</v>
      </c>
      <c r="AK36" s="15"/>
      <c r="AL36" s="15"/>
      <c r="AM36" s="15"/>
      <c r="AN36" s="15"/>
      <c r="AO36" s="15"/>
    </row>
    <row r="37" spans="1:41" ht="15.75" customHeight="1">
      <c r="A37" s="3">
        <v>33</v>
      </c>
      <c r="B37" s="4" t="s">
        <v>89</v>
      </c>
      <c r="C37" s="17" t="s">
        <v>90</v>
      </c>
      <c r="D37" s="6">
        <v>20</v>
      </c>
      <c r="E37" s="7">
        <v>19</v>
      </c>
      <c r="F37" s="8">
        <v>21</v>
      </c>
      <c r="G37" s="22">
        <v>17</v>
      </c>
      <c r="H37" s="9">
        <v>17</v>
      </c>
      <c r="I37" s="10">
        <v>14</v>
      </c>
      <c r="J37" s="6">
        <v>19</v>
      </c>
      <c r="K37" s="7">
        <v>17</v>
      </c>
      <c r="L37" s="11">
        <v>22</v>
      </c>
      <c r="M37" s="6">
        <v>19</v>
      </c>
      <c r="N37" s="12">
        <v>23</v>
      </c>
      <c r="O37" s="12">
        <v>20</v>
      </c>
      <c r="P37" s="6">
        <v>15</v>
      </c>
      <c r="Q37" s="6">
        <v>15</v>
      </c>
      <c r="R37" s="23">
        <v>12</v>
      </c>
      <c r="S37" s="23">
        <v>12</v>
      </c>
      <c r="T37" s="6">
        <v>15</v>
      </c>
      <c r="U37" s="7">
        <v>6</v>
      </c>
      <c r="V37" s="24">
        <v>6</v>
      </c>
      <c r="W37" s="24">
        <v>6</v>
      </c>
      <c r="X37" s="7">
        <v>5</v>
      </c>
      <c r="Y37" s="7">
        <v>4</v>
      </c>
      <c r="Z37" s="13">
        <v>22</v>
      </c>
      <c r="AA37" s="13">
        <v>12</v>
      </c>
      <c r="AB37" s="13">
        <v>11</v>
      </c>
      <c r="AC37" s="7">
        <v>6</v>
      </c>
      <c r="AD37" s="7">
        <v>26</v>
      </c>
      <c r="AE37" s="7">
        <v>23</v>
      </c>
      <c r="AF37" s="8">
        <v>3</v>
      </c>
      <c r="AG37" s="12">
        <v>3</v>
      </c>
      <c r="AH37" s="9">
        <f t="shared" si="0"/>
        <v>237</v>
      </c>
      <c r="AI37" s="10">
        <f t="shared" si="1"/>
        <v>193</v>
      </c>
      <c r="AJ37" s="14">
        <f t="shared" si="2"/>
        <v>81.434599156118153</v>
      </c>
      <c r="AK37" s="15"/>
      <c r="AL37" s="15"/>
      <c r="AM37" s="15"/>
      <c r="AN37" s="15"/>
      <c r="AO37" s="15"/>
    </row>
    <row r="38" spans="1:41" ht="15.75" customHeight="1">
      <c r="A38" s="3">
        <v>34</v>
      </c>
      <c r="B38" s="4" t="s">
        <v>91</v>
      </c>
      <c r="C38" s="17" t="s">
        <v>92</v>
      </c>
      <c r="D38" s="6">
        <v>20</v>
      </c>
      <c r="E38" s="7">
        <v>18</v>
      </c>
      <c r="F38" s="8">
        <v>21</v>
      </c>
      <c r="G38" s="22">
        <v>18</v>
      </c>
      <c r="H38" s="9">
        <v>17</v>
      </c>
      <c r="I38" s="10">
        <v>14</v>
      </c>
      <c r="J38" s="6">
        <v>19</v>
      </c>
      <c r="K38" s="7">
        <v>19</v>
      </c>
      <c r="L38" s="11">
        <v>22</v>
      </c>
      <c r="M38" s="6">
        <v>19</v>
      </c>
      <c r="N38" s="12">
        <v>23</v>
      </c>
      <c r="O38" s="12">
        <v>20</v>
      </c>
      <c r="P38" s="6">
        <v>15</v>
      </c>
      <c r="Q38" s="6">
        <v>15</v>
      </c>
      <c r="R38" s="23">
        <v>12</v>
      </c>
      <c r="S38" s="23">
        <v>12</v>
      </c>
      <c r="T38" s="6">
        <v>15</v>
      </c>
      <c r="U38" s="7">
        <v>12</v>
      </c>
      <c r="V38" s="24">
        <v>6</v>
      </c>
      <c r="W38" s="24">
        <v>6</v>
      </c>
      <c r="X38" s="7">
        <v>5</v>
      </c>
      <c r="Y38" s="7">
        <v>5</v>
      </c>
      <c r="Z38" s="13">
        <v>22</v>
      </c>
      <c r="AA38" s="13">
        <v>18</v>
      </c>
      <c r="AB38" s="13">
        <v>11</v>
      </c>
      <c r="AC38" s="7">
        <v>9</v>
      </c>
      <c r="AD38" s="7">
        <v>26</v>
      </c>
      <c r="AE38" s="7">
        <v>23</v>
      </c>
      <c r="AF38" s="8">
        <v>3</v>
      </c>
      <c r="AG38" s="12">
        <v>3</v>
      </c>
      <c r="AH38" s="9">
        <f t="shared" si="0"/>
        <v>237</v>
      </c>
      <c r="AI38" s="10">
        <f t="shared" si="1"/>
        <v>211</v>
      </c>
      <c r="AJ38" s="14">
        <f t="shared" si="2"/>
        <v>89.029535864978897</v>
      </c>
      <c r="AK38" s="15"/>
      <c r="AL38" s="15"/>
      <c r="AM38" s="15"/>
      <c r="AN38" s="15"/>
      <c r="AO38" s="15"/>
    </row>
    <row r="39" spans="1:41" ht="15.75" customHeight="1">
      <c r="A39" s="3">
        <v>35</v>
      </c>
      <c r="B39" s="4" t="s">
        <v>93</v>
      </c>
      <c r="C39" s="17" t="s">
        <v>94</v>
      </c>
      <c r="D39" s="6">
        <v>20</v>
      </c>
      <c r="E39" s="7">
        <v>17</v>
      </c>
      <c r="F39" s="8">
        <v>21</v>
      </c>
      <c r="G39" s="22">
        <v>15</v>
      </c>
      <c r="H39" s="9">
        <v>17</v>
      </c>
      <c r="I39" s="10">
        <v>15</v>
      </c>
      <c r="J39" s="6">
        <v>19</v>
      </c>
      <c r="K39" s="7">
        <v>15</v>
      </c>
      <c r="L39" s="11">
        <v>22</v>
      </c>
      <c r="M39" s="6">
        <v>17</v>
      </c>
      <c r="N39" s="12">
        <v>23</v>
      </c>
      <c r="O39" s="12">
        <v>17</v>
      </c>
      <c r="P39" s="6">
        <v>15</v>
      </c>
      <c r="Q39" s="6">
        <v>9</v>
      </c>
      <c r="R39" s="23">
        <v>12</v>
      </c>
      <c r="S39" s="23">
        <v>10</v>
      </c>
      <c r="T39" s="6">
        <v>15</v>
      </c>
      <c r="U39" s="7">
        <v>9</v>
      </c>
      <c r="V39" s="24">
        <v>6</v>
      </c>
      <c r="W39" s="24">
        <v>5</v>
      </c>
      <c r="X39" s="7">
        <v>5</v>
      </c>
      <c r="Y39" s="7">
        <v>5</v>
      </c>
      <c r="Z39" s="13">
        <v>22</v>
      </c>
      <c r="AA39" s="13">
        <v>16</v>
      </c>
      <c r="AB39" s="13">
        <v>11</v>
      </c>
      <c r="AC39" s="7">
        <v>8</v>
      </c>
      <c r="AD39" s="7">
        <v>26</v>
      </c>
      <c r="AE39" s="7">
        <v>20</v>
      </c>
      <c r="AF39" s="8">
        <v>3</v>
      </c>
      <c r="AG39" s="12">
        <v>3</v>
      </c>
      <c r="AH39" s="9">
        <f t="shared" si="0"/>
        <v>237</v>
      </c>
      <c r="AI39" s="10">
        <f t="shared" si="1"/>
        <v>181</v>
      </c>
      <c r="AJ39" s="14">
        <f t="shared" si="2"/>
        <v>76.371308016877634</v>
      </c>
      <c r="AK39" s="15"/>
      <c r="AL39" s="15"/>
      <c r="AM39" s="15"/>
      <c r="AN39" s="15"/>
      <c r="AO39" s="15"/>
    </row>
    <row r="40" spans="1:41" ht="15.75" customHeight="1">
      <c r="A40" s="3">
        <v>36</v>
      </c>
      <c r="B40" s="4" t="s">
        <v>95</v>
      </c>
      <c r="C40" s="17" t="s">
        <v>96</v>
      </c>
      <c r="D40" s="6">
        <v>20</v>
      </c>
      <c r="E40" s="7">
        <v>16</v>
      </c>
      <c r="F40" s="8">
        <v>21</v>
      </c>
      <c r="G40" s="22">
        <v>18</v>
      </c>
      <c r="H40" s="9">
        <v>17</v>
      </c>
      <c r="I40" s="10">
        <v>13</v>
      </c>
      <c r="J40" s="6">
        <v>19</v>
      </c>
      <c r="K40" s="7">
        <v>14</v>
      </c>
      <c r="L40" s="11">
        <v>22</v>
      </c>
      <c r="M40" s="6">
        <v>17</v>
      </c>
      <c r="N40" s="12">
        <v>23</v>
      </c>
      <c r="O40" s="12">
        <v>17</v>
      </c>
      <c r="P40" s="6">
        <v>15</v>
      </c>
      <c r="Q40" s="6">
        <v>9</v>
      </c>
      <c r="R40" s="23">
        <v>12</v>
      </c>
      <c r="S40" s="23">
        <v>12</v>
      </c>
      <c r="T40" s="6">
        <v>15</v>
      </c>
      <c r="U40" s="7">
        <v>9</v>
      </c>
      <c r="V40" s="24">
        <v>6</v>
      </c>
      <c r="W40" s="24">
        <v>6</v>
      </c>
      <c r="X40" s="7">
        <v>5</v>
      </c>
      <c r="Y40" s="7">
        <v>5</v>
      </c>
      <c r="Z40" s="13">
        <v>22</v>
      </c>
      <c r="AA40" s="13">
        <v>18</v>
      </c>
      <c r="AB40" s="13">
        <v>11</v>
      </c>
      <c r="AC40" s="7">
        <v>9</v>
      </c>
      <c r="AD40" s="7">
        <v>26</v>
      </c>
      <c r="AE40" s="7">
        <v>24</v>
      </c>
      <c r="AF40" s="8">
        <v>3</v>
      </c>
      <c r="AG40" s="12">
        <v>3</v>
      </c>
      <c r="AH40" s="9">
        <f t="shared" si="0"/>
        <v>237</v>
      </c>
      <c r="AI40" s="10">
        <f t="shared" si="1"/>
        <v>190</v>
      </c>
      <c r="AJ40" s="14">
        <f t="shared" si="2"/>
        <v>80.168776371308013</v>
      </c>
      <c r="AK40" s="15"/>
      <c r="AL40" s="15"/>
      <c r="AM40" s="15"/>
      <c r="AN40" s="15"/>
      <c r="AO40" s="15"/>
    </row>
    <row r="41" spans="1:41" ht="15.75" customHeight="1">
      <c r="A41" s="3">
        <v>37</v>
      </c>
      <c r="B41" s="4" t="s">
        <v>97</v>
      </c>
      <c r="C41" s="17" t="s">
        <v>98</v>
      </c>
      <c r="D41" s="6">
        <v>20</v>
      </c>
      <c r="E41" s="7">
        <v>13</v>
      </c>
      <c r="F41" s="8">
        <v>21</v>
      </c>
      <c r="G41" s="22">
        <v>12</v>
      </c>
      <c r="H41" s="9">
        <v>17</v>
      </c>
      <c r="I41" s="10">
        <v>10</v>
      </c>
      <c r="J41" s="6">
        <v>19</v>
      </c>
      <c r="K41" s="7">
        <v>14</v>
      </c>
      <c r="L41" s="11">
        <v>22</v>
      </c>
      <c r="M41" s="6">
        <v>14</v>
      </c>
      <c r="N41" s="12">
        <v>23</v>
      </c>
      <c r="O41" s="12">
        <v>18</v>
      </c>
      <c r="P41" s="6">
        <v>15</v>
      </c>
      <c r="Q41" s="6">
        <v>12</v>
      </c>
      <c r="R41" s="23">
        <v>12</v>
      </c>
      <c r="S41" s="23">
        <v>10</v>
      </c>
      <c r="T41" s="6">
        <v>15</v>
      </c>
      <c r="U41" s="7">
        <v>12</v>
      </c>
      <c r="V41" s="24">
        <v>6</v>
      </c>
      <c r="W41" s="24">
        <v>5</v>
      </c>
      <c r="X41" s="7">
        <v>5</v>
      </c>
      <c r="Y41" s="7">
        <v>5</v>
      </c>
      <c r="Z41" s="13">
        <v>22</v>
      </c>
      <c r="AA41" s="13">
        <v>12</v>
      </c>
      <c r="AB41" s="13">
        <v>11</v>
      </c>
      <c r="AC41" s="7">
        <v>6</v>
      </c>
      <c r="AD41" s="7">
        <v>26</v>
      </c>
      <c r="AE41" s="7">
        <v>15</v>
      </c>
      <c r="AF41" s="8">
        <v>3</v>
      </c>
      <c r="AG41" s="12">
        <v>1</v>
      </c>
      <c r="AH41" s="9">
        <f t="shared" si="0"/>
        <v>237</v>
      </c>
      <c r="AI41" s="10">
        <f t="shared" si="1"/>
        <v>159</v>
      </c>
      <c r="AJ41" s="14">
        <f t="shared" si="2"/>
        <v>67.088607594936718</v>
      </c>
      <c r="AK41" s="15"/>
      <c r="AL41" s="15"/>
      <c r="AM41" s="15"/>
      <c r="AN41" s="15"/>
      <c r="AO41" s="15"/>
    </row>
    <row r="42" spans="1:41" ht="15.75" customHeight="1">
      <c r="A42" s="3">
        <v>38</v>
      </c>
      <c r="B42" s="4" t="s">
        <v>99</v>
      </c>
      <c r="C42" s="17" t="s">
        <v>100</v>
      </c>
      <c r="D42" s="6">
        <v>20</v>
      </c>
      <c r="E42" s="7">
        <v>19</v>
      </c>
      <c r="F42" s="8">
        <v>21</v>
      </c>
      <c r="G42" s="22">
        <v>21</v>
      </c>
      <c r="H42" s="9">
        <v>17</v>
      </c>
      <c r="I42" s="10">
        <v>15</v>
      </c>
      <c r="J42" s="6">
        <v>19</v>
      </c>
      <c r="K42" s="7">
        <v>19</v>
      </c>
      <c r="L42" s="11">
        <v>22</v>
      </c>
      <c r="M42" s="6">
        <v>21</v>
      </c>
      <c r="N42" s="12">
        <v>23</v>
      </c>
      <c r="O42" s="12">
        <v>23</v>
      </c>
      <c r="P42" s="6">
        <v>15</v>
      </c>
      <c r="Q42" s="6">
        <v>15</v>
      </c>
      <c r="R42" s="23">
        <v>12</v>
      </c>
      <c r="S42" s="23">
        <v>12</v>
      </c>
      <c r="T42" s="6">
        <v>15</v>
      </c>
      <c r="U42" s="7">
        <v>15</v>
      </c>
      <c r="V42" s="24">
        <v>6</v>
      </c>
      <c r="W42" s="24">
        <v>6</v>
      </c>
      <c r="X42" s="7">
        <v>5</v>
      </c>
      <c r="Y42" s="7">
        <v>5</v>
      </c>
      <c r="Z42" s="13">
        <v>22</v>
      </c>
      <c r="AA42" s="13">
        <v>22</v>
      </c>
      <c r="AB42" s="13">
        <v>11</v>
      </c>
      <c r="AC42" s="7">
        <v>11</v>
      </c>
      <c r="AD42" s="7">
        <v>26</v>
      </c>
      <c r="AE42" s="7">
        <v>26</v>
      </c>
      <c r="AF42" s="8">
        <v>3</v>
      </c>
      <c r="AG42" s="12">
        <v>3</v>
      </c>
      <c r="AH42" s="9">
        <f t="shared" si="0"/>
        <v>237</v>
      </c>
      <c r="AI42" s="10">
        <f t="shared" si="1"/>
        <v>233</v>
      </c>
      <c r="AJ42" s="14">
        <f t="shared" si="2"/>
        <v>98.312236286919827</v>
      </c>
      <c r="AK42" s="15"/>
      <c r="AL42" s="15"/>
      <c r="AM42" s="15"/>
      <c r="AN42" s="15"/>
      <c r="AO42" s="15"/>
    </row>
    <row r="43" spans="1:41" ht="15.75" customHeight="1">
      <c r="A43" s="3">
        <v>39</v>
      </c>
      <c r="B43" s="4" t="s">
        <v>101</v>
      </c>
      <c r="C43" s="17" t="s">
        <v>102</v>
      </c>
      <c r="D43" s="6">
        <v>20</v>
      </c>
      <c r="E43" s="7">
        <v>17</v>
      </c>
      <c r="F43" s="8">
        <v>21</v>
      </c>
      <c r="G43" s="22">
        <v>19</v>
      </c>
      <c r="H43" s="9">
        <v>17</v>
      </c>
      <c r="I43" s="10">
        <v>15</v>
      </c>
      <c r="J43" s="6">
        <v>19</v>
      </c>
      <c r="K43" s="7">
        <v>17</v>
      </c>
      <c r="L43" s="11">
        <v>22</v>
      </c>
      <c r="M43" s="6">
        <v>20</v>
      </c>
      <c r="N43" s="12">
        <v>23</v>
      </c>
      <c r="O43" s="12">
        <v>20</v>
      </c>
      <c r="P43" s="6">
        <v>15</v>
      </c>
      <c r="Q43" s="6">
        <v>15</v>
      </c>
      <c r="R43" s="23">
        <v>12</v>
      </c>
      <c r="S43" s="23">
        <v>12</v>
      </c>
      <c r="T43" s="6">
        <v>15</v>
      </c>
      <c r="U43" s="7">
        <v>15</v>
      </c>
      <c r="V43" s="24">
        <v>6</v>
      </c>
      <c r="W43" s="24">
        <v>6</v>
      </c>
      <c r="X43" s="7">
        <v>5</v>
      </c>
      <c r="Y43" s="7">
        <v>4</v>
      </c>
      <c r="Z43" s="13">
        <v>22</v>
      </c>
      <c r="AA43" s="13">
        <v>12</v>
      </c>
      <c r="AB43" s="13">
        <v>11</v>
      </c>
      <c r="AC43" s="7">
        <v>6</v>
      </c>
      <c r="AD43" s="7">
        <v>26</v>
      </c>
      <c r="AE43" s="7">
        <v>26</v>
      </c>
      <c r="AF43" s="8">
        <v>3</v>
      </c>
      <c r="AG43" s="12">
        <v>3</v>
      </c>
      <c r="AH43" s="9">
        <f t="shared" si="0"/>
        <v>237</v>
      </c>
      <c r="AI43" s="10">
        <f t="shared" si="1"/>
        <v>207</v>
      </c>
      <c r="AJ43" s="14">
        <f t="shared" si="2"/>
        <v>87.341772151898738</v>
      </c>
      <c r="AK43" s="15"/>
      <c r="AL43" s="15"/>
      <c r="AM43" s="15"/>
      <c r="AN43" s="15"/>
      <c r="AO43" s="15"/>
    </row>
    <row r="44" spans="1:41" ht="15.75" customHeight="1">
      <c r="A44" s="3">
        <v>40</v>
      </c>
      <c r="B44" s="4" t="s">
        <v>103</v>
      </c>
      <c r="C44" s="17" t="s">
        <v>104</v>
      </c>
      <c r="D44" s="6">
        <v>20</v>
      </c>
      <c r="E44" s="7">
        <v>17</v>
      </c>
      <c r="F44" s="8">
        <v>21</v>
      </c>
      <c r="G44" s="22">
        <v>16</v>
      </c>
      <c r="H44" s="9">
        <v>17</v>
      </c>
      <c r="I44" s="10">
        <v>16</v>
      </c>
      <c r="J44" s="6">
        <v>19</v>
      </c>
      <c r="K44" s="7">
        <v>16</v>
      </c>
      <c r="L44" s="11">
        <v>22</v>
      </c>
      <c r="M44" s="6">
        <v>16</v>
      </c>
      <c r="N44" s="12">
        <v>23</v>
      </c>
      <c r="O44" s="12">
        <v>19</v>
      </c>
      <c r="P44" s="6">
        <v>15</v>
      </c>
      <c r="Q44" s="6">
        <v>12</v>
      </c>
      <c r="R44" s="23">
        <v>12</v>
      </c>
      <c r="S44" s="23">
        <v>10</v>
      </c>
      <c r="T44" s="6">
        <v>15</v>
      </c>
      <c r="U44" s="7">
        <v>12</v>
      </c>
      <c r="V44" s="24">
        <v>6</v>
      </c>
      <c r="W44" s="24">
        <v>5</v>
      </c>
      <c r="X44" s="7">
        <v>5</v>
      </c>
      <c r="Y44" s="7">
        <v>5</v>
      </c>
      <c r="Z44" s="13">
        <v>22</v>
      </c>
      <c r="AA44" s="13">
        <v>16</v>
      </c>
      <c r="AB44" s="13">
        <v>11</v>
      </c>
      <c r="AC44" s="7">
        <v>8</v>
      </c>
      <c r="AD44" s="7">
        <v>26</v>
      </c>
      <c r="AE44" s="7">
        <v>9</v>
      </c>
      <c r="AF44" s="8">
        <v>3</v>
      </c>
      <c r="AG44" s="12">
        <v>3</v>
      </c>
      <c r="AH44" s="9">
        <f t="shared" si="0"/>
        <v>237</v>
      </c>
      <c r="AI44" s="10">
        <f t="shared" si="1"/>
        <v>180</v>
      </c>
      <c r="AJ44" s="14">
        <f t="shared" si="2"/>
        <v>75.949367088607602</v>
      </c>
      <c r="AK44" s="15"/>
      <c r="AL44" s="15"/>
      <c r="AM44" s="15"/>
      <c r="AN44" s="15"/>
      <c r="AO44" s="15"/>
    </row>
    <row r="45" spans="1:41" ht="15.75" customHeight="1">
      <c r="A45" s="3">
        <v>41</v>
      </c>
      <c r="B45" s="4" t="s">
        <v>105</v>
      </c>
      <c r="C45" s="17" t="s">
        <v>106</v>
      </c>
      <c r="D45" s="6">
        <v>20</v>
      </c>
      <c r="E45" s="7">
        <v>17</v>
      </c>
      <c r="F45" s="8">
        <v>21</v>
      </c>
      <c r="G45" s="22">
        <v>15</v>
      </c>
      <c r="H45" s="9">
        <v>17</v>
      </c>
      <c r="I45" s="10">
        <v>14</v>
      </c>
      <c r="J45" s="6">
        <v>19</v>
      </c>
      <c r="K45" s="7">
        <v>15</v>
      </c>
      <c r="L45" s="11">
        <v>22</v>
      </c>
      <c r="M45" s="6">
        <v>18</v>
      </c>
      <c r="N45" s="12">
        <v>23</v>
      </c>
      <c r="O45" s="12">
        <v>20</v>
      </c>
      <c r="P45" s="6">
        <v>15</v>
      </c>
      <c r="Q45" s="6">
        <v>12</v>
      </c>
      <c r="R45" s="23">
        <v>12</v>
      </c>
      <c r="S45" s="23">
        <v>12</v>
      </c>
      <c r="T45" s="6">
        <v>15</v>
      </c>
      <c r="U45" s="7">
        <v>15</v>
      </c>
      <c r="V45" s="24">
        <v>6</v>
      </c>
      <c r="W45" s="24">
        <v>6</v>
      </c>
      <c r="X45" s="7">
        <v>5</v>
      </c>
      <c r="Y45" s="7">
        <v>4</v>
      </c>
      <c r="Z45" s="13">
        <v>22</v>
      </c>
      <c r="AA45" s="13">
        <v>14</v>
      </c>
      <c r="AB45" s="13">
        <v>11</v>
      </c>
      <c r="AC45" s="7">
        <v>7</v>
      </c>
      <c r="AD45" s="7">
        <v>26</v>
      </c>
      <c r="AE45" s="7">
        <v>23</v>
      </c>
      <c r="AF45" s="8">
        <v>3</v>
      </c>
      <c r="AG45" s="12">
        <v>3</v>
      </c>
      <c r="AH45" s="9">
        <f t="shared" si="0"/>
        <v>237</v>
      </c>
      <c r="AI45" s="10">
        <f t="shared" si="1"/>
        <v>195</v>
      </c>
      <c r="AJ45" s="14">
        <f t="shared" si="2"/>
        <v>82.278481012658233</v>
      </c>
      <c r="AK45" s="15"/>
      <c r="AL45" s="15"/>
      <c r="AM45" s="15"/>
      <c r="AN45" s="15"/>
      <c r="AO45" s="15"/>
    </row>
    <row r="46" spans="1:41" ht="15.75" customHeight="1">
      <c r="A46" s="3">
        <v>42</v>
      </c>
      <c r="B46" s="4" t="s">
        <v>107</v>
      </c>
      <c r="C46" s="17" t="s">
        <v>108</v>
      </c>
      <c r="D46" s="6">
        <v>20</v>
      </c>
      <c r="E46" s="7">
        <v>18</v>
      </c>
      <c r="F46" s="8">
        <v>21</v>
      </c>
      <c r="G46" s="22">
        <v>21</v>
      </c>
      <c r="H46" s="9">
        <v>17</v>
      </c>
      <c r="I46" s="10">
        <v>17</v>
      </c>
      <c r="J46" s="6">
        <v>19</v>
      </c>
      <c r="K46" s="7">
        <v>19</v>
      </c>
      <c r="L46" s="11">
        <v>22</v>
      </c>
      <c r="M46" s="6">
        <v>22</v>
      </c>
      <c r="N46" s="12">
        <v>23</v>
      </c>
      <c r="O46" s="12">
        <v>21</v>
      </c>
      <c r="P46" s="6">
        <v>15</v>
      </c>
      <c r="Q46" s="6">
        <v>12</v>
      </c>
      <c r="R46" s="23">
        <v>12</v>
      </c>
      <c r="S46" s="23">
        <v>10</v>
      </c>
      <c r="T46" s="6">
        <v>15</v>
      </c>
      <c r="U46" s="7">
        <v>15</v>
      </c>
      <c r="V46" s="24">
        <v>6</v>
      </c>
      <c r="W46" s="24">
        <v>5</v>
      </c>
      <c r="X46" s="7">
        <v>5</v>
      </c>
      <c r="Y46" s="7">
        <v>5</v>
      </c>
      <c r="Z46" s="13">
        <v>22</v>
      </c>
      <c r="AA46" s="13">
        <v>20</v>
      </c>
      <c r="AB46" s="13">
        <v>11</v>
      </c>
      <c r="AC46" s="7">
        <v>10</v>
      </c>
      <c r="AD46" s="7">
        <v>26</v>
      </c>
      <c r="AE46" s="7">
        <v>26</v>
      </c>
      <c r="AF46" s="8">
        <v>3</v>
      </c>
      <c r="AG46" s="12">
        <v>3</v>
      </c>
      <c r="AH46" s="9">
        <f t="shared" si="0"/>
        <v>237</v>
      </c>
      <c r="AI46" s="10">
        <f t="shared" si="1"/>
        <v>224</v>
      </c>
      <c r="AJ46" s="14">
        <f t="shared" si="2"/>
        <v>94.514767932489448</v>
      </c>
      <c r="AK46" s="15"/>
      <c r="AL46" s="15"/>
      <c r="AM46" s="15"/>
      <c r="AN46" s="15"/>
      <c r="AO46" s="15"/>
    </row>
    <row r="47" spans="1:41" ht="15.75" customHeight="1">
      <c r="A47" s="3">
        <v>43</v>
      </c>
      <c r="B47" s="4" t="s">
        <v>109</v>
      </c>
      <c r="C47" s="17" t="s">
        <v>110</v>
      </c>
      <c r="D47" s="6">
        <v>20</v>
      </c>
      <c r="E47" s="7">
        <v>18</v>
      </c>
      <c r="F47" s="8">
        <v>21</v>
      </c>
      <c r="G47" s="22">
        <v>20</v>
      </c>
      <c r="H47" s="9">
        <v>17</v>
      </c>
      <c r="I47" s="10">
        <v>15</v>
      </c>
      <c r="J47" s="6">
        <v>19</v>
      </c>
      <c r="K47" s="7">
        <v>17</v>
      </c>
      <c r="L47" s="11">
        <v>22</v>
      </c>
      <c r="M47" s="6">
        <v>20</v>
      </c>
      <c r="N47" s="12">
        <v>23</v>
      </c>
      <c r="O47" s="12">
        <v>20</v>
      </c>
      <c r="P47" s="6">
        <v>15</v>
      </c>
      <c r="Q47" s="6">
        <v>15</v>
      </c>
      <c r="R47" s="23">
        <v>12</v>
      </c>
      <c r="S47" s="23">
        <v>12</v>
      </c>
      <c r="T47" s="6">
        <v>15</v>
      </c>
      <c r="U47" s="7">
        <v>6</v>
      </c>
      <c r="V47" s="24">
        <v>6</v>
      </c>
      <c r="W47" s="24">
        <v>6</v>
      </c>
      <c r="X47" s="7">
        <v>5</v>
      </c>
      <c r="Y47" s="7">
        <v>4</v>
      </c>
      <c r="Z47" s="13">
        <v>22</v>
      </c>
      <c r="AA47" s="13">
        <v>12</v>
      </c>
      <c r="AB47" s="13">
        <v>11</v>
      </c>
      <c r="AC47" s="7">
        <v>6</v>
      </c>
      <c r="AD47" s="7">
        <v>26</v>
      </c>
      <c r="AE47" s="7">
        <v>26</v>
      </c>
      <c r="AF47" s="8">
        <v>3</v>
      </c>
      <c r="AG47" s="12">
        <v>3</v>
      </c>
      <c r="AH47" s="9">
        <f t="shared" si="0"/>
        <v>237</v>
      </c>
      <c r="AI47" s="10">
        <f t="shared" si="1"/>
        <v>200</v>
      </c>
      <c r="AJ47" s="14">
        <f t="shared" si="2"/>
        <v>84.388185654008439</v>
      </c>
      <c r="AK47" s="15"/>
      <c r="AL47" s="15"/>
      <c r="AM47" s="15"/>
      <c r="AN47" s="15"/>
      <c r="AO47" s="15"/>
    </row>
    <row r="48" spans="1:41" ht="15.75" customHeight="1">
      <c r="A48" s="3">
        <v>44</v>
      </c>
      <c r="B48" s="4" t="s">
        <v>111</v>
      </c>
      <c r="C48" s="17" t="s">
        <v>112</v>
      </c>
      <c r="D48" s="6">
        <v>20</v>
      </c>
      <c r="E48" s="7">
        <v>19</v>
      </c>
      <c r="F48" s="8">
        <v>21</v>
      </c>
      <c r="G48" s="22">
        <v>19</v>
      </c>
      <c r="H48" s="9">
        <v>17</v>
      </c>
      <c r="I48" s="18">
        <v>16</v>
      </c>
      <c r="J48" s="6">
        <v>19</v>
      </c>
      <c r="K48" s="7">
        <v>19</v>
      </c>
      <c r="L48" s="11">
        <v>22</v>
      </c>
      <c r="M48" s="6">
        <v>20</v>
      </c>
      <c r="N48" s="12">
        <v>23</v>
      </c>
      <c r="O48" s="12">
        <v>21</v>
      </c>
      <c r="P48" s="6">
        <v>15</v>
      </c>
      <c r="Q48" s="6">
        <v>15</v>
      </c>
      <c r="R48" s="23">
        <v>12</v>
      </c>
      <c r="S48" s="23">
        <v>12</v>
      </c>
      <c r="T48" s="6">
        <v>15</v>
      </c>
      <c r="U48" s="19">
        <v>15</v>
      </c>
      <c r="V48" s="24">
        <v>6</v>
      </c>
      <c r="W48" s="24">
        <v>6</v>
      </c>
      <c r="X48" s="7">
        <v>5</v>
      </c>
      <c r="Y48" s="7">
        <v>5</v>
      </c>
      <c r="Z48" s="13">
        <v>22</v>
      </c>
      <c r="AA48" s="13">
        <v>20</v>
      </c>
      <c r="AB48" s="13">
        <v>11</v>
      </c>
      <c r="AC48" s="7">
        <v>10</v>
      </c>
      <c r="AD48" s="7">
        <v>26</v>
      </c>
      <c r="AE48" s="7">
        <v>23</v>
      </c>
      <c r="AF48" s="8">
        <v>3</v>
      </c>
      <c r="AG48" s="12">
        <v>3</v>
      </c>
      <c r="AH48" s="9">
        <f t="shared" si="0"/>
        <v>237</v>
      </c>
      <c r="AI48" s="10">
        <f t="shared" si="1"/>
        <v>223</v>
      </c>
      <c r="AJ48" s="14">
        <f t="shared" si="2"/>
        <v>94.092827004219416</v>
      </c>
      <c r="AK48" s="15"/>
      <c r="AL48" s="15"/>
      <c r="AM48" s="15"/>
      <c r="AN48" s="15"/>
      <c r="AO48" s="15"/>
    </row>
    <row r="49" spans="1:41" ht="15.75" customHeight="1">
      <c r="A49" s="1"/>
      <c r="B49" s="1"/>
      <c r="C49" s="1"/>
      <c r="D49" s="29" t="s">
        <v>113</v>
      </c>
      <c r="E49" s="30"/>
      <c r="F49" s="29" t="s">
        <v>114</v>
      </c>
      <c r="G49" s="30"/>
      <c r="H49" s="47" t="s">
        <v>123</v>
      </c>
      <c r="I49" s="30"/>
      <c r="J49" s="29" t="s">
        <v>116</v>
      </c>
      <c r="K49" s="30"/>
      <c r="L49" s="29" t="s">
        <v>130</v>
      </c>
      <c r="M49" s="30"/>
      <c r="N49" s="20" t="s">
        <v>118</v>
      </c>
      <c r="O49" s="21"/>
      <c r="P49" s="29" t="s">
        <v>130</v>
      </c>
      <c r="Q49" s="30"/>
      <c r="R49" s="29" t="s">
        <v>119</v>
      </c>
      <c r="S49" s="30"/>
      <c r="T49" s="29" t="s">
        <v>116</v>
      </c>
      <c r="U49" s="30"/>
      <c r="V49" s="29" t="s">
        <v>119</v>
      </c>
      <c r="W49" s="30"/>
      <c r="X49" s="29" t="s">
        <v>120</v>
      </c>
      <c r="Y49" s="30"/>
      <c r="Z49" s="29" t="s">
        <v>121</v>
      </c>
      <c r="AA49" s="30"/>
      <c r="AB49" s="29" t="s">
        <v>122</v>
      </c>
      <c r="AC49" s="30"/>
      <c r="AD49" s="29"/>
      <c r="AE49" s="42"/>
      <c r="AF49" s="30"/>
      <c r="AG49" s="1" t="s">
        <v>133</v>
      </c>
      <c r="AH49" s="1"/>
      <c r="AI49" s="1"/>
      <c r="AJ49" s="1"/>
      <c r="AK49" s="1"/>
      <c r="AL49" s="1"/>
      <c r="AM49" s="1"/>
      <c r="AN49" s="1"/>
      <c r="AO49" s="1"/>
    </row>
    <row r="50" spans="1:41" ht="15.75" customHeight="1">
      <c r="A50" s="1"/>
      <c r="B50" s="1"/>
      <c r="C50" s="1"/>
      <c r="D50" s="31"/>
      <c r="E50" s="30"/>
      <c r="F50" s="31"/>
      <c r="G50" s="30"/>
      <c r="H50" s="31"/>
      <c r="I50" s="30"/>
      <c r="J50" s="31"/>
      <c r="K50" s="30"/>
      <c r="L50" s="31"/>
      <c r="M50" s="30"/>
      <c r="N50" s="31"/>
      <c r="O50" s="30"/>
      <c r="P50" s="31"/>
      <c r="Q50" s="30"/>
      <c r="R50" s="31"/>
      <c r="S50" s="30"/>
      <c r="T50" s="31"/>
      <c r="U50" s="30"/>
      <c r="V50" s="31"/>
      <c r="W50" s="30"/>
      <c r="X50" s="31"/>
      <c r="Y50" s="30"/>
      <c r="Z50" s="31"/>
      <c r="AA50" s="30"/>
      <c r="AB50" s="31"/>
      <c r="AC50" s="30"/>
      <c r="AD50" s="43"/>
      <c r="AE50" s="44"/>
      <c r="AF50" s="45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1"/>
      <c r="C54" s="41" t="s">
        <v>124</v>
      </c>
      <c r="D54" s="35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1" t="s">
        <v>125</v>
      </c>
      <c r="AC54" s="35"/>
      <c r="AD54" s="35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1"/>
      <c r="C55" s="35"/>
      <c r="D55" s="35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5"/>
      <c r="AC55" s="35"/>
      <c r="AD55" s="35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1"/>
      <c r="C56" s="41" t="s">
        <v>126</v>
      </c>
      <c r="D56" s="3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41" t="s">
        <v>127</v>
      </c>
      <c r="AA56" s="35"/>
      <c r="AB56" s="35"/>
      <c r="AC56" s="35"/>
      <c r="AD56" s="35"/>
      <c r="AE56" s="35"/>
      <c r="AF56" s="35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3">
    <mergeCell ref="L50:M50"/>
    <mergeCell ref="C54:E55"/>
    <mergeCell ref="C56:E56"/>
    <mergeCell ref="H3:I3"/>
    <mergeCell ref="J3:K3"/>
    <mergeCell ref="D49:E49"/>
    <mergeCell ref="F49:G49"/>
    <mergeCell ref="H49:I49"/>
    <mergeCell ref="J49:K49"/>
    <mergeCell ref="D50:E50"/>
    <mergeCell ref="F50:G50"/>
    <mergeCell ref="H50:I50"/>
    <mergeCell ref="J50:K50"/>
    <mergeCell ref="L49:M49"/>
    <mergeCell ref="Z50:AA50"/>
    <mergeCell ref="AB50:AC50"/>
    <mergeCell ref="AB54:AD55"/>
    <mergeCell ref="Z56:AF56"/>
    <mergeCell ref="Z49:AA49"/>
    <mergeCell ref="AB49:AC49"/>
    <mergeCell ref="AD49:AF49"/>
    <mergeCell ref="N50:O50"/>
    <mergeCell ref="P50:Q50"/>
    <mergeCell ref="R50:S50"/>
    <mergeCell ref="T50:U50"/>
    <mergeCell ref="AD50:AF50"/>
    <mergeCell ref="P49:Q49"/>
    <mergeCell ref="R49:S49"/>
    <mergeCell ref="T49:U49"/>
    <mergeCell ref="A1:AF1"/>
    <mergeCell ref="A2:AF2"/>
    <mergeCell ref="A3:A4"/>
    <mergeCell ref="B3:B4"/>
    <mergeCell ref="C3:C4"/>
    <mergeCell ref="D3:E3"/>
    <mergeCell ref="F3:G3"/>
    <mergeCell ref="P3:Q3"/>
    <mergeCell ref="R3:S3"/>
    <mergeCell ref="Z3:AA3"/>
    <mergeCell ref="AB3:AC3"/>
    <mergeCell ref="AD3:AE3"/>
    <mergeCell ref="AF3:AG3"/>
    <mergeCell ref="L3:M3"/>
    <mergeCell ref="N3:O3"/>
    <mergeCell ref="T3:U3"/>
    <mergeCell ref="V49:W49"/>
    <mergeCell ref="X49:Y49"/>
    <mergeCell ref="V50:W50"/>
    <mergeCell ref="X50:Y50"/>
    <mergeCell ref="AJ3:AJ4"/>
    <mergeCell ref="AH3:AI3"/>
    <mergeCell ref="V3:W3"/>
    <mergeCell ref="X3:Y3"/>
  </mergeCells>
  <hyperlinks>
    <hyperlink ref="A3" r:id="rId1" xr:uid="{00000000-0004-0000-0200-000000000000}"/>
    <hyperlink ref="B3" r:id="rId2" xr:uid="{00000000-0004-0000-0200-000001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O999"/>
  <sheetViews>
    <sheetView zoomScale="55" zoomScaleNormal="55" workbookViewId="0">
      <selection activeCell="B5" sqref="B5:C48"/>
    </sheetView>
  </sheetViews>
  <sheetFormatPr defaultColWidth="12.6640625" defaultRowHeight="15" customHeight="1"/>
  <cols>
    <col min="1" max="1" width="5.33203125" customWidth="1"/>
    <col min="2" max="2" width="12.33203125" customWidth="1"/>
    <col min="3" max="3" width="19" style="54" customWidth="1"/>
    <col min="4" max="4" width="3.44140625" customWidth="1"/>
    <col min="5" max="5" width="3.109375" customWidth="1"/>
    <col min="6" max="7" width="3.21875" customWidth="1"/>
    <col min="8" max="8" width="3.109375" customWidth="1"/>
    <col min="9" max="9" width="3.21875" customWidth="1"/>
    <col min="10" max="10" width="3" customWidth="1"/>
    <col min="11" max="11" width="2.77734375" customWidth="1"/>
    <col min="12" max="12" width="3" customWidth="1"/>
    <col min="13" max="13" width="2.77734375" customWidth="1"/>
    <col min="14" max="14" width="2.88671875" customWidth="1"/>
    <col min="15" max="15" width="4" customWidth="1"/>
    <col min="16" max="16" width="3.6640625" customWidth="1"/>
    <col min="17" max="18" width="3.33203125" customWidth="1"/>
    <col min="19" max="20" width="3.6640625" customWidth="1"/>
    <col min="21" max="21" width="3.44140625" customWidth="1"/>
    <col min="22" max="22" width="3.109375" customWidth="1"/>
    <col min="23" max="23" width="3.6640625" customWidth="1"/>
    <col min="24" max="24" width="3.77734375" customWidth="1"/>
    <col min="25" max="25" width="3.33203125" customWidth="1"/>
    <col min="26" max="27" width="3.21875" customWidth="1"/>
    <col min="28" max="28" width="3.44140625" customWidth="1"/>
    <col min="29" max="29" width="3.33203125" customWidth="1"/>
    <col min="30" max="30" width="4.21875" customWidth="1"/>
    <col min="31" max="31" width="4.88671875" customWidth="1"/>
    <col min="32" max="32" width="5.6640625" customWidth="1"/>
    <col min="33" max="33" width="5.21875" customWidth="1"/>
    <col min="34" max="34" width="6.77734375" customWidth="1"/>
    <col min="35" max="35" width="5.77734375" customWidth="1"/>
    <col min="36" max="36" width="7.88671875" customWidth="1"/>
  </cols>
  <sheetData>
    <row r="1" spans="1:41" ht="15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36" t="s">
        <v>134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1"/>
      <c r="AH2" s="1"/>
      <c r="AI2" s="1"/>
      <c r="AJ2" s="1"/>
      <c r="AK2" s="1"/>
      <c r="AL2" s="1"/>
      <c r="AM2" s="1"/>
      <c r="AN2" s="1"/>
      <c r="AO2" s="1"/>
    </row>
    <row r="3" spans="1:41" ht="15.75" customHeight="1">
      <c r="A3" s="37" t="s">
        <v>2</v>
      </c>
      <c r="B3" s="55" t="s">
        <v>137</v>
      </c>
      <c r="C3" s="49" t="s">
        <v>4</v>
      </c>
      <c r="D3" s="40" t="s">
        <v>5</v>
      </c>
      <c r="E3" s="30"/>
      <c r="F3" s="40" t="s">
        <v>6</v>
      </c>
      <c r="G3" s="30"/>
      <c r="H3" s="40" t="s">
        <v>7</v>
      </c>
      <c r="I3" s="30"/>
      <c r="J3" s="40" t="s">
        <v>8</v>
      </c>
      <c r="K3" s="30"/>
      <c r="L3" s="40" t="s">
        <v>9</v>
      </c>
      <c r="M3" s="30"/>
      <c r="N3" s="40" t="s">
        <v>135</v>
      </c>
      <c r="O3" s="30"/>
      <c r="P3" s="40" t="s">
        <v>11</v>
      </c>
      <c r="Q3" s="30"/>
      <c r="R3" s="40" t="s">
        <v>12</v>
      </c>
      <c r="S3" s="30"/>
      <c r="T3" s="40" t="s">
        <v>13</v>
      </c>
      <c r="U3" s="30"/>
      <c r="V3" s="40" t="s">
        <v>14</v>
      </c>
      <c r="W3" s="30"/>
      <c r="X3" s="40" t="s">
        <v>15</v>
      </c>
      <c r="Y3" s="30"/>
      <c r="Z3" s="40" t="s">
        <v>16</v>
      </c>
      <c r="AA3" s="30"/>
      <c r="AB3" s="40" t="s">
        <v>17</v>
      </c>
      <c r="AC3" s="30"/>
      <c r="AD3" s="40" t="s">
        <v>18</v>
      </c>
      <c r="AE3" s="30"/>
      <c r="AF3" s="40" t="s">
        <v>19</v>
      </c>
      <c r="AG3" s="30"/>
      <c r="AH3" s="40" t="s">
        <v>20</v>
      </c>
      <c r="AI3" s="30"/>
      <c r="AJ3" s="32" t="s">
        <v>21</v>
      </c>
      <c r="AK3" s="1" t="s">
        <v>22</v>
      </c>
      <c r="AL3" s="1"/>
      <c r="AM3" s="1"/>
      <c r="AN3" s="1"/>
      <c r="AO3" s="1"/>
    </row>
    <row r="4" spans="1:41" ht="15.75" customHeight="1">
      <c r="A4" s="33"/>
      <c r="B4" s="48"/>
      <c r="C4" s="50"/>
      <c r="D4" s="2" t="s">
        <v>23</v>
      </c>
      <c r="E4" s="2" t="s">
        <v>24</v>
      </c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33"/>
      <c r="AK4" s="1"/>
      <c r="AL4" s="1"/>
      <c r="AM4" s="1"/>
      <c r="AN4" s="1"/>
      <c r="AO4" s="1"/>
    </row>
    <row r="5" spans="1:41" ht="15.75" customHeight="1">
      <c r="A5" s="3">
        <v>1</v>
      </c>
      <c r="B5" s="4" t="s">
        <v>25</v>
      </c>
      <c r="C5" s="51" t="s">
        <v>26</v>
      </c>
      <c r="D5" s="6">
        <v>28</v>
      </c>
      <c r="E5" s="7">
        <v>25</v>
      </c>
      <c r="F5" s="8">
        <v>29</v>
      </c>
      <c r="G5" s="22">
        <v>25</v>
      </c>
      <c r="H5" s="9">
        <v>24</v>
      </c>
      <c r="I5" s="10">
        <v>20</v>
      </c>
      <c r="J5" s="6">
        <v>25</v>
      </c>
      <c r="K5" s="7">
        <v>24</v>
      </c>
      <c r="L5" s="11">
        <v>28</v>
      </c>
      <c r="M5" s="6">
        <v>23</v>
      </c>
      <c r="N5" s="12">
        <v>30</v>
      </c>
      <c r="O5" s="12">
        <v>26</v>
      </c>
      <c r="P5" s="6">
        <v>21</v>
      </c>
      <c r="Q5" s="6">
        <v>21</v>
      </c>
      <c r="R5" s="23">
        <v>14</v>
      </c>
      <c r="S5" s="23">
        <v>14</v>
      </c>
      <c r="T5" s="6">
        <v>18</v>
      </c>
      <c r="U5" s="7">
        <v>18</v>
      </c>
      <c r="V5" s="23">
        <v>7</v>
      </c>
      <c r="W5" s="23">
        <v>7</v>
      </c>
      <c r="X5" s="7">
        <v>7</v>
      </c>
      <c r="Y5" s="7">
        <v>7</v>
      </c>
      <c r="Z5" s="13">
        <v>30</v>
      </c>
      <c r="AA5" s="13">
        <v>24</v>
      </c>
      <c r="AB5" s="13">
        <v>15</v>
      </c>
      <c r="AC5" s="7">
        <v>12</v>
      </c>
      <c r="AD5" s="7">
        <v>36</v>
      </c>
      <c r="AE5" s="7">
        <v>31</v>
      </c>
      <c r="AF5" s="8">
        <v>5</v>
      </c>
      <c r="AG5" s="12">
        <v>4</v>
      </c>
      <c r="AH5" s="9">
        <f t="shared" ref="AH5:AH48" si="0">(D5+F5+H5+J5+N5+P5+R5+T5+V5+X5+Z5+AB5+AD5+AF5+L5)</f>
        <v>317</v>
      </c>
      <c r="AI5" s="10">
        <f t="shared" ref="AI5:AI48" si="1">(E5+G5+I5+K5+M5+O5+Q5+S5+U5+W5+Y5+AA5+AC5+AE5+AG5)</f>
        <v>281</v>
      </c>
      <c r="AJ5" s="28">
        <f t="shared" ref="AJ5:AJ48" si="2">(AI5/AH5)*100</f>
        <v>88.643533123028391</v>
      </c>
      <c r="AK5" s="15"/>
      <c r="AL5" s="15"/>
      <c r="AM5" s="15"/>
      <c r="AN5" s="15"/>
      <c r="AO5" s="15">
        <v>1</v>
      </c>
    </row>
    <row r="6" spans="1:41" ht="15.75" customHeight="1">
      <c r="A6" s="3">
        <v>2</v>
      </c>
      <c r="B6" s="4" t="s">
        <v>27</v>
      </c>
      <c r="C6" s="51" t="s">
        <v>28</v>
      </c>
      <c r="D6" s="6">
        <v>28</v>
      </c>
      <c r="E6" s="7">
        <v>24</v>
      </c>
      <c r="F6" s="8">
        <v>29</v>
      </c>
      <c r="G6" s="22">
        <v>22</v>
      </c>
      <c r="H6" s="9">
        <v>24</v>
      </c>
      <c r="I6" s="10">
        <v>18</v>
      </c>
      <c r="J6" s="6">
        <v>25</v>
      </c>
      <c r="K6" s="7">
        <v>23</v>
      </c>
      <c r="L6" s="11">
        <v>28</v>
      </c>
      <c r="M6" s="6">
        <v>22</v>
      </c>
      <c r="N6" s="12">
        <v>30</v>
      </c>
      <c r="O6" s="12">
        <v>24</v>
      </c>
      <c r="P6" s="6">
        <v>21</v>
      </c>
      <c r="Q6" s="6">
        <v>18</v>
      </c>
      <c r="R6" s="23">
        <v>14</v>
      </c>
      <c r="S6" s="23">
        <v>14</v>
      </c>
      <c r="T6" s="6">
        <v>18</v>
      </c>
      <c r="U6" s="7">
        <v>15</v>
      </c>
      <c r="V6" s="23">
        <v>7</v>
      </c>
      <c r="W6" s="23">
        <v>7</v>
      </c>
      <c r="X6" s="7">
        <v>7</v>
      </c>
      <c r="Y6" s="7">
        <v>5</v>
      </c>
      <c r="Z6" s="13">
        <v>30</v>
      </c>
      <c r="AA6" s="13">
        <v>20</v>
      </c>
      <c r="AB6" s="13">
        <v>15</v>
      </c>
      <c r="AC6" s="7">
        <v>10</v>
      </c>
      <c r="AD6" s="7">
        <v>36</v>
      </c>
      <c r="AE6" s="7">
        <v>25</v>
      </c>
      <c r="AF6" s="8">
        <v>5</v>
      </c>
      <c r="AG6" s="12">
        <v>4</v>
      </c>
      <c r="AH6" s="9">
        <f t="shared" si="0"/>
        <v>317</v>
      </c>
      <c r="AI6" s="10">
        <f t="shared" si="1"/>
        <v>251</v>
      </c>
      <c r="AJ6" s="28">
        <f t="shared" si="2"/>
        <v>79.179810725552045</v>
      </c>
      <c r="AK6" s="15"/>
      <c r="AL6" s="15"/>
      <c r="AM6" s="15"/>
      <c r="AN6" s="15"/>
      <c r="AO6" s="15"/>
    </row>
    <row r="7" spans="1:41" ht="15.75" customHeight="1">
      <c r="A7" s="3">
        <v>3</v>
      </c>
      <c r="B7" s="4" t="s">
        <v>29</v>
      </c>
      <c r="C7" s="51" t="s">
        <v>30</v>
      </c>
      <c r="D7" s="6">
        <v>28</v>
      </c>
      <c r="E7" s="7">
        <v>22</v>
      </c>
      <c r="F7" s="8">
        <v>29</v>
      </c>
      <c r="G7" s="22">
        <v>23</v>
      </c>
      <c r="H7" s="9">
        <v>24</v>
      </c>
      <c r="I7" s="10">
        <v>16</v>
      </c>
      <c r="J7" s="6">
        <v>25</v>
      </c>
      <c r="K7" s="7">
        <v>20</v>
      </c>
      <c r="L7" s="11">
        <v>28</v>
      </c>
      <c r="M7" s="6">
        <v>19</v>
      </c>
      <c r="N7" s="12">
        <v>30</v>
      </c>
      <c r="O7" s="12">
        <v>22</v>
      </c>
      <c r="P7" s="6">
        <v>21</v>
      </c>
      <c r="Q7" s="6">
        <v>12</v>
      </c>
      <c r="R7" s="23">
        <v>14</v>
      </c>
      <c r="S7" s="23">
        <v>12</v>
      </c>
      <c r="T7" s="6">
        <v>18</v>
      </c>
      <c r="U7" s="7">
        <v>18</v>
      </c>
      <c r="V7" s="23">
        <v>7</v>
      </c>
      <c r="W7" s="23">
        <v>6</v>
      </c>
      <c r="X7" s="7">
        <v>7</v>
      </c>
      <c r="Y7" s="7">
        <v>4</v>
      </c>
      <c r="Z7" s="13">
        <v>30</v>
      </c>
      <c r="AA7" s="13">
        <v>20</v>
      </c>
      <c r="AB7" s="13">
        <v>15</v>
      </c>
      <c r="AC7" s="7">
        <v>10</v>
      </c>
      <c r="AD7" s="7">
        <v>36</v>
      </c>
      <c r="AE7" s="7">
        <v>28</v>
      </c>
      <c r="AF7" s="8">
        <v>5</v>
      </c>
      <c r="AG7" s="12">
        <v>4</v>
      </c>
      <c r="AH7" s="9">
        <f t="shared" si="0"/>
        <v>317</v>
      </c>
      <c r="AI7" s="10">
        <f t="shared" si="1"/>
        <v>236</v>
      </c>
      <c r="AJ7" s="28">
        <f t="shared" si="2"/>
        <v>74.447949526813886</v>
      </c>
      <c r="AK7" s="15"/>
      <c r="AL7" s="15"/>
      <c r="AM7" s="15"/>
      <c r="AN7" s="15"/>
      <c r="AO7" s="15"/>
    </row>
    <row r="8" spans="1:41" ht="15.75" customHeight="1">
      <c r="A8" s="3">
        <v>4</v>
      </c>
      <c r="B8" s="4" t="s">
        <v>31</v>
      </c>
      <c r="C8" s="51" t="s">
        <v>32</v>
      </c>
      <c r="D8" s="6">
        <v>28</v>
      </c>
      <c r="E8" s="7">
        <v>26</v>
      </c>
      <c r="F8" s="8">
        <v>29</v>
      </c>
      <c r="G8" s="22">
        <v>28</v>
      </c>
      <c r="H8" s="9">
        <v>24</v>
      </c>
      <c r="I8" s="10">
        <v>22</v>
      </c>
      <c r="J8" s="6">
        <v>25</v>
      </c>
      <c r="K8" s="7">
        <v>23</v>
      </c>
      <c r="L8" s="11">
        <v>28</v>
      </c>
      <c r="M8" s="6">
        <v>27</v>
      </c>
      <c r="N8" s="12">
        <v>30</v>
      </c>
      <c r="O8" s="12">
        <v>29</v>
      </c>
      <c r="P8" s="6">
        <v>21</v>
      </c>
      <c r="Q8" s="6">
        <v>21</v>
      </c>
      <c r="R8" s="23">
        <v>14</v>
      </c>
      <c r="S8" s="23">
        <v>14</v>
      </c>
      <c r="T8" s="6">
        <v>18</v>
      </c>
      <c r="U8" s="7">
        <v>18</v>
      </c>
      <c r="V8" s="23">
        <v>7</v>
      </c>
      <c r="W8" s="23">
        <v>7</v>
      </c>
      <c r="X8" s="7">
        <v>7</v>
      </c>
      <c r="Y8" s="7">
        <v>7</v>
      </c>
      <c r="Z8" s="13">
        <v>30</v>
      </c>
      <c r="AA8" s="13">
        <v>26</v>
      </c>
      <c r="AB8" s="13">
        <v>15</v>
      </c>
      <c r="AC8" s="7">
        <v>13</v>
      </c>
      <c r="AD8" s="7">
        <v>36</v>
      </c>
      <c r="AE8" s="7">
        <v>36</v>
      </c>
      <c r="AF8" s="8">
        <v>5</v>
      </c>
      <c r="AG8" s="12">
        <v>5</v>
      </c>
      <c r="AH8" s="9">
        <f t="shared" si="0"/>
        <v>317</v>
      </c>
      <c r="AI8" s="10">
        <f t="shared" si="1"/>
        <v>302</v>
      </c>
      <c r="AJ8" s="28">
        <f t="shared" si="2"/>
        <v>95.268138801261827</v>
      </c>
      <c r="AK8" s="15"/>
      <c r="AL8" s="15"/>
      <c r="AM8" s="15"/>
      <c r="AN8" s="15"/>
      <c r="AO8" s="15"/>
    </row>
    <row r="9" spans="1:41" ht="15.75" customHeight="1">
      <c r="A9" s="3">
        <v>5</v>
      </c>
      <c r="B9" s="4" t="s">
        <v>33</v>
      </c>
      <c r="C9" s="51" t="s">
        <v>34</v>
      </c>
      <c r="D9" s="6">
        <v>28</v>
      </c>
      <c r="E9" s="7">
        <v>26</v>
      </c>
      <c r="F9" s="8">
        <v>29</v>
      </c>
      <c r="G9" s="22">
        <v>22</v>
      </c>
      <c r="H9" s="9">
        <v>24</v>
      </c>
      <c r="I9" s="10">
        <v>20</v>
      </c>
      <c r="J9" s="6">
        <v>25</v>
      </c>
      <c r="K9" s="7">
        <v>21</v>
      </c>
      <c r="L9" s="11">
        <v>28</v>
      </c>
      <c r="M9" s="6">
        <v>24</v>
      </c>
      <c r="N9" s="12">
        <v>30</v>
      </c>
      <c r="O9" s="12">
        <v>26</v>
      </c>
      <c r="P9" s="6">
        <v>21</v>
      </c>
      <c r="Q9" s="6">
        <v>18</v>
      </c>
      <c r="R9" s="23">
        <v>14</v>
      </c>
      <c r="S9" s="23">
        <v>12</v>
      </c>
      <c r="T9" s="6">
        <v>18</v>
      </c>
      <c r="U9" s="7">
        <v>18</v>
      </c>
      <c r="V9" s="23">
        <v>7</v>
      </c>
      <c r="W9" s="23">
        <v>6</v>
      </c>
      <c r="X9" s="7">
        <v>7</v>
      </c>
      <c r="Y9" s="7">
        <v>6</v>
      </c>
      <c r="Z9" s="13">
        <v>30</v>
      </c>
      <c r="AA9" s="13">
        <v>20</v>
      </c>
      <c r="AB9" s="13">
        <v>15</v>
      </c>
      <c r="AC9" s="7">
        <v>10</v>
      </c>
      <c r="AD9" s="7">
        <v>36</v>
      </c>
      <c r="AE9" s="7">
        <v>25</v>
      </c>
      <c r="AF9" s="8">
        <v>5</v>
      </c>
      <c r="AG9" s="12">
        <v>5</v>
      </c>
      <c r="AH9" s="9">
        <f t="shared" si="0"/>
        <v>317</v>
      </c>
      <c r="AI9" s="10">
        <f t="shared" si="1"/>
        <v>259</v>
      </c>
      <c r="AJ9" s="28">
        <f t="shared" si="2"/>
        <v>81.703470031545748</v>
      </c>
      <c r="AK9" s="15"/>
      <c r="AL9" s="15"/>
      <c r="AM9" s="15"/>
      <c r="AN9" s="15"/>
      <c r="AO9" s="15"/>
    </row>
    <row r="10" spans="1:41" ht="15.75" customHeight="1">
      <c r="A10" s="3">
        <v>6</v>
      </c>
      <c r="B10" s="4" t="s">
        <v>35</v>
      </c>
      <c r="C10" s="51" t="s">
        <v>36</v>
      </c>
      <c r="D10" s="6">
        <v>28</v>
      </c>
      <c r="E10" s="7">
        <v>23</v>
      </c>
      <c r="F10" s="8">
        <v>29</v>
      </c>
      <c r="G10" s="22">
        <v>20</v>
      </c>
      <c r="H10" s="9">
        <v>24</v>
      </c>
      <c r="I10" s="10">
        <v>18</v>
      </c>
      <c r="J10" s="6">
        <v>25</v>
      </c>
      <c r="K10" s="7">
        <v>18</v>
      </c>
      <c r="L10" s="11">
        <v>28</v>
      </c>
      <c r="M10" s="6">
        <v>21</v>
      </c>
      <c r="N10" s="12">
        <v>30</v>
      </c>
      <c r="O10" s="12">
        <v>21</v>
      </c>
      <c r="P10" s="6">
        <v>21</v>
      </c>
      <c r="Q10" s="6">
        <v>15</v>
      </c>
      <c r="R10" s="23">
        <v>14</v>
      </c>
      <c r="S10" s="23">
        <v>12</v>
      </c>
      <c r="T10" s="6">
        <v>18</v>
      </c>
      <c r="U10" s="7">
        <v>18</v>
      </c>
      <c r="V10" s="23">
        <v>7</v>
      </c>
      <c r="W10" s="23">
        <v>6</v>
      </c>
      <c r="X10" s="7">
        <v>7</v>
      </c>
      <c r="Y10" s="7">
        <v>5</v>
      </c>
      <c r="Z10" s="13">
        <v>30</v>
      </c>
      <c r="AA10" s="13">
        <v>12</v>
      </c>
      <c r="AB10" s="13">
        <v>15</v>
      </c>
      <c r="AC10" s="7">
        <v>6</v>
      </c>
      <c r="AD10" s="7">
        <v>36</v>
      </c>
      <c r="AE10" s="7">
        <v>25</v>
      </c>
      <c r="AF10" s="8">
        <v>5</v>
      </c>
      <c r="AG10" s="12">
        <v>3</v>
      </c>
      <c r="AH10" s="9">
        <f t="shared" si="0"/>
        <v>317</v>
      </c>
      <c r="AI10" s="10">
        <f t="shared" si="1"/>
        <v>223</v>
      </c>
      <c r="AJ10" s="28">
        <f t="shared" si="2"/>
        <v>70.347003154574125</v>
      </c>
      <c r="AK10" s="15"/>
      <c r="AL10" s="15"/>
      <c r="AM10" s="15"/>
      <c r="AN10" s="15"/>
      <c r="AO10" s="15"/>
    </row>
    <row r="11" spans="1:41" ht="15.75" customHeight="1">
      <c r="A11" s="3">
        <v>7</v>
      </c>
      <c r="B11" s="4" t="s">
        <v>37</v>
      </c>
      <c r="C11" s="51" t="s">
        <v>38</v>
      </c>
      <c r="D11" s="6">
        <v>28</v>
      </c>
      <c r="E11" s="7">
        <v>23</v>
      </c>
      <c r="F11" s="8">
        <v>29</v>
      </c>
      <c r="G11" s="22">
        <v>23</v>
      </c>
      <c r="H11" s="9">
        <v>24</v>
      </c>
      <c r="I11" s="10">
        <v>17</v>
      </c>
      <c r="J11" s="6">
        <v>25</v>
      </c>
      <c r="K11" s="7">
        <v>21</v>
      </c>
      <c r="L11" s="11">
        <v>28</v>
      </c>
      <c r="M11" s="6">
        <v>22</v>
      </c>
      <c r="N11" s="12">
        <v>30</v>
      </c>
      <c r="O11" s="12">
        <v>24</v>
      </c>
      <c r="P11" s="6">
        <v>21</v>
      </c>
      <c r="Q11" s="6">
        <v>12</v>
      </c>
      <c r="R11" s="23">
        <v>14</v>
      </c>
      <c r="S11" s="23">
        <v>12</v>
      </c>
      <c r="T11" s="6">
        <v>18</v>
      </c>
      <c r="U11" s="7">
        <v>18</v>
      </c>
      <c r="V11" s="23">
        <v>7</v>
      </c>
      <c r="W11" s="23">
        <v>6</v>
      </c>
      <c r="X11" s="7">
        <v>7</v>
      </c>
      <c r="Y11" s="7">
        <v>4</v>
      </c>
      <c r="Z11" s="13">
        <v>30</v>
      </c>
      <c r="AA11" s="13">
        <v>16</v>
      </c>
      <c r="AB11" s="13">
        <v>15</v>
      </c>
      <c r="AC11" s="7">
        <v>8</v>
      </c>
      <c r="AD11" s="7">
        <v>36</v>
      </c>
      <c r="AE11" s="7">
        <v>33</v>
      </c>
      <c r="AF11" s="8">
        <v>5</v>
      </c>
      <c r="AG11" s="12">
        <v>5</v>
      </c>
      <c r="AH11" s="9">
        <f t="shared" si="0"/>
        <v>317</v>
      </c>
      <c r="AI11" s="10">
        <f t="shared" si="1"/>
        <v>244</v>
      </c>
      <c r="AJ11" s="28">
        <f t="shared" si="2"/>
        <v>76.971608832807576</v>
      </c>
      <c r="AK11" s="15"/>
      <c r="AL11" s="15"/>
      <c r="AM11" s="15"/>
      <c r="AN11" s="15"/>
      <c r="AO11" s="15"/>
    </row>
    <row r="12" spans="1:41" ht="15.75" customHeight="1">
      <c r="A12" s="3">
        <v>8</v>
      </c>
      <c r="B12" s="4" t="s">
        <v>39</v>
      </c>
      <c r="C12" s="51" t="s">
        <v>40</v>
      </c>
      <c r="D12" s="6">
        <v>28</v>
      </c>
      <c r="E12" s="7">
        <v>22</v>
      </c>
      <c r="F12" s="8">
        <v>29</v>
      </c>
      <c r="G12" s="22">
        <v>24</v>
      </c>
      <c r="H12" s="9">
        <v>24</v>
      </c>
      <c r="I12" s="10">
        <v>17</v>
      </c>
      <c r="J12" s="6">
        <v>25</v>
      </c>
      <c r="K12" s="7">
        <v>21</v>
      </c>
      <c r="L12" s="11">
        <v>28</v>
      </c>
      <c r="M12" s="6">
        <v>22</v>
      </c>
      <c r="N12" s="12">
        <v>30</v>
      </c>
      <c r="O12" s="12">
        <v>21</v>
      </c>
      <c r="P12" s="6">
        <v>21</v>
      </c>
      <c r="Q12" s="6">
        <v>12</v>
      </c>
      <c r="R12" s="23">
        <v>14</v>
      </c>
      <c r="S12" s="23">
        <v>12</v>
      </c>
      <c r="T12" s="6">
        <v>18</v>
      </c>
      <c r="U12" s="7">
        <v>15</v>
      </c>
      <c r="V12" s="23">
        <v>7</v>
      </c>
      <c r="W12" s="23">
        <v>6</v>
      </c>
      <c r="X12" s="7">
        <v>7</v>
      </c>
      <c r="Y12" s="7">
        <v>4</v>
      </c>
      <c r="Z12" s="13">
        <v>30</v>
      </c>
      <c r="AA12" s="13">
        <v>14</v>
      </c>
      <c r="AB12" s="13">
        <v>15</v>
      </c>
      <c r="AC12" s="7">
        <v>7</v>
      </c>
      <c r="AD12" s="7">
        <v>36</v>
      </c>
      <c r="AE12" s="7">
        <v>31</v>
      </c>
      <c r="AF12" s="8">
        <v>5</v>
      </c>
      <c r="AG12" s="12">
        <v>5</v>
      </c>
      <c r="AH12" s="9">
        <f t="shared" si="0"/>
        <v>317</v>
      </c>
      <c r="AI12" s="10">
        <f t="shared" si="1"/>
        <v>233</v>
      </c>
      <c r="AJ12" s="28">
        <f t="shared" si="2"/>
        <v>73.50157728706624</v>
      </c>
      <c r="AK12" s="15"/>
      <c r="AL12" s="15"/>
      <c r="AM12" s="15"/>
      <c r="AN12" s="15"/>
      <c r="AO12" s="15"/>
    </row>
    <row r="13" spans="1:41" ht="15.75" customHeight="1">
      <c r="A13" s="3">
        <v>9</v>
      </c>
      <c r="B13" s="4" t="s">
        <v>41</v>
      </c>
      <c r="C13" s="51" t="s">
        <v>42</v>
      </c>
      <c r="D13" s="6">
        <v>28</v>
      </c>
      <c r="E13" s="7">
        <v>22</v>
      </c>
      <c r="F13" s="8">
        <v>29</v>
      </c>
      <c r="G13" s="22">
        <v>20</v>
      </c>
      <c r="H13" s="9">
        <v>24</v>
      </c>
      <c r="I13" s="10">
        <v>16</v>
      </c>
      <c r="J13" s="6">
        <v>25</v>
      </c>
      <c r="K13" s="7">
        <v>19</v>
      </c>
      <c r="L13" s="11">
        <v>28</v>
      </c>
      <c r="M13" s="6">
        <v>20</v>
      </c>
      <c r="N13" s="12">
        <v>30</v>
      </c>
      <c r="O13" s="12">
        <v>22</v>
      </c>
      <c r="P13" s="6">
        <v>21</v>
      </c>
      <c r="Q13" s="6">
        <v>18</v>
      </c>
      <c r="R13" s="23">
        <v>14</v>
      </c>
      <c r="S13" s="23">
        <v>14</v>
      </c>
      <c r="T13" s="6">
        <v>18</v>
      </c>
      <c r="U13" s="7">
        <v>18</v>
      </c>
      <c r="V13" s="23">
        <v>7</v>
      </c>
      <c r="W13" s="23">
        <v>7</v>
      </c>
      <c r="X13" s="7">
        <v>7</v>
      </c>
      <c r="Y13" s="7">
        <v>6</v>
      </c>
      <c r="Z13" s="13">
        <v>30</v>
      </c>
      <c r="AA13" s="13">
        <v>14</v>
      </c>
      <c r="AB13" s="13">
        <v>15</v>
      </c>
      <c r="AC13" s="7">
        <v>7</v>
      </c>
      <c r="AD13" s="7">
        <v>36</v>
      </c>
      <c r="AE13" s="7">
        <v>21</v>
      </c>
      <c r="AF13" s="8">
        <v>5</v>
      </c>
      <c r="AG13" s="12">
        <v>3</v>
      </c>
      <c r="AH13" s="9">
        <f t="shared" si="0"/>
        <v>317</v>
      </c>
      <c r="AI13" s="10">
        <f t="shared" si="1"/>
        <v>227</v>
      </c>
      <c r="AJ13" s="28">
        <f t="shared" si="2"/>
        <v>71.608832807570977</v>
      </c>
      <c r="AK13" s="15"/>
      <c r="AL13" s="15"/>
      <c r="AM13" s="15"/>
      <c r="AN13" s="15"/>
      <c r="AO13" s="15"/>
    </row>
    <row r="14" spans="1:41" ht="15.75" customHeight="1">
      <c r="A14" s="3">
        <v>10</v>
      </c>
      <c r="B14" s="4" t="s">
        <v>43</v>
      </c>
      <c r="C14" s="51" t="s">
        <v>44</v>
      </c>
      <c r="D14" s="6">
        <v>28</v>
      </c>
      <c r="E14" s="7">
        <v>27</v>
      </c>
      <c r="F14" s="8">
        <v>29</v>
      </c>
      <c r="G14" s="22">
        <v>24</v>
      </c>
      <c r="H14" s="9">
        <v>24</v>
      </c>
      <c r="I14" s="10">
        <v>21</v>
      </c>
      <c r="J14" s="6">
        <v>25</v>
      </c>
      <c r="K14" s="7">
        <v>23</v>
      </c>
      <c r="L14" s="11">
        <v>28</v>
      </c>
      <c r="M14" s="6">
        <v>23</v>
      </c>
      <c r="N14" s="12">
        <v>30</v>
      </c>
      <c r="O14" s="12">
        <v>23</v>
      </c>
      <c r="P14" s="6">
        <v>21</v>
      </c>
      <c r="Q14" s="6">
        <v>15</v>
      </c>
      <c r="R14" s="23">
        <v>14</v>
      </c>
      <c r="S14" s="23">
        <v>14</v>
      </c>
      <c r="T14" s="6">
        <v>18</v>
      </c>
      <c r="U14" s="7">
        <v>15</v>
      </c>
      <c r="V14" s="23">
        <v>7</v>
      </c>
      <c r="W14" s="23">
        <v>7</v>
      </c>
      <c r="X14" s="7">
        <v>7</v>
      </c>
      <c r="Y14" s="7">
        <v>6</v>
      </c>
      <c r="Z14" s="13">
        <v>30</v>
      </c>
      <c r="AA14" s="13">
        <v>16</v>
      </c>
      <c r="AB14" s="13">
        <v>15</v>
      </c>
      <c r="AC14" s="7">
        <v>8</v>
      </c>
      <c r="AD14" s="7">
        <v>36</v>
      </c>
      <c r="AE14" s="7">
        <v>30</v>
      </c>
      <c r="AF14" s="8">
        <v>5</v>
      </c>
      <c r="AG14" s="12">
        <v>5</v>
      </c>
      <c r="AH14" s="9">
        <f t="shared" si="0"/>
        <v>317</v>
      </c>
      <c r="AI14" s="10">
        <f t="shared" si="1"/>
        <v>257</v>
      </c>
      <c r="AJ14" s="28">
        <f t="shared" si="2"/>
        <v>81.072555205047308</v>
      </c>
      <c r="AK14" s="15"/>
      <c r="AL14" s="15"/>
      <c r="AM14" s="15"/>
      <c r="AN14" s="15"/>
      <c r="AO14" s="15"/>
    </row>
    <row r="15" spans="1:41" ht="15.75" customHeight="1">
      <c r="A15" s="3">
        <v>11</v>
      </c>
      <c r="B15" s="4" t="s">
        <v>45</v>
      </c>
      <c r="C15" s="51" t="s">
        <v>46</v>
      </c>
      <c r="D15" s="6">
        <v>28</v>
      </c>
      <c r="E15" s="7">
        <v>25</v>
      </c>
      <c r="F15" s="8">
        <v>29</v>
      </c>
      <c r="G15" s="22">
        <v>24</v>
      </c>
      <c r="H15" s="9">
        <v>24</v>
      </c>
      <c r="I15" s="10">
        <v>21</v>
      </c>
      <c r="J15" s="6">
        <v>25</v>
      </c>
      <c r="K15" s="7">
        <v>22</v>
      </c>
      <c r="L15" s="11">
        <v>28</v>
      </c>
      <c r="M15" s="6">
        <v>25</v>
      </c>
      <c r="N15" s="12">
        <v>30</v>
      </c>
      <c r="O15" s="12">
        <v>27</v>
      </c>
      <c r="P15" s="6">
        <v>21</v>
      </c>
      <c r="Q15" s="6">
        <v>21</v>
      </c>
      <c r="R15" s="23">
        <v>14</v>
      </c>
      <c r="S15" s="23">
        <v>14</v>
      </c>
      <c r="T15" s="6">
        <v>18</v>
      </c>
      <c r="U15" s="7">
        <v>15</v>
      </c>
      <c r="V15" s="23">
        <v>7</v>
      </c>
      <c r="W15" s="23">
        <v>7</v>
      </c>
      <c r="X15" s="7">
        <v>7</v>
      </c>
      <c r="Y15" s="7">
        <v>4</v>
      </c>
      <c r="Z15" s="13">
        <v>30</v>
      </c>
      <c r="AA15" s="13">
        <v>16</v>
      </c>
      <c r="AB15" s="13">
        <v>15</v>
      </c>
      <c r="AC15" s="7">
        <v>8</v>
      </c>
      <c r="AD15" s="7">
        <v>36</v>
      </c>
      <c r="AE15" s="7">
        <v>33</v>
      </c>
      <c r="AF15" s="8">
        <v>5</v>
      </c>
      <c r="AG15" s="12">
        <v>5</v>
      </c>
      <c r="AH15" s="9">
        <f t="shared" si="0"/>
        <v>317</v>
      </c>
      <c r="AI15" s="10">
        <f t="shared" si="1"/>
        <v>267</v>
      </c>
      <c r="AJ15" s="28">
        <f t="shared" si="2"/>
        <v>84.227129337539424</v>
      </c>
      <c r="AK15" s="15"/>
      <c r="AL15" s="15"/>
      <c r="AM15" s="15"/>
      <c r="AN15" s="15"/>
      <c r="AO15" s="15"/>
    </row>
    <row r="16" spans="1:41" ht="15.75" customHeight="1">
      <c r="A16" s="3">
        <v>12</v>
      </c>
      <c r="B16" s="4" t="s">
        <v>47</v>
      </c>
      <c r="C16" s="51" t="s">
        <v>48</v>
      </c>
      <c r="D16" s="6">
        <v>28</v>
      </c>
      <c r="E16" s="7">
        <v>20</v>
      </c>
      <c r="F16" s="8">
        <v>29</v>
      </c>
      <c r="G16" s="22">
        <v>24</v>
      </c>
      <c r="H16" s="9">
        <v>24</v>
      </c>
      <c r="I16" s="10">
        <v>16</v>
      </c>
      <c r="J16" s="6">
        <v>25</v>
      </c>
      <c r="K16" s="7">
        <v>19</v>
      </c>
      <c r="L16" s="11">
        <v>28</v>
      </c>
      <c r="M16" s="6">
        <v>18</v>
      </c>
      <c r="N16" s="12">
        <v>30</v>
      </c>
      <c r="O16" s="12">
        <v>21</v>
      </c>
      <c r="P16" s="6">
        <v>21</v>
      </c>
      <c r="Q16" s="6">
        <v>12</v>
      </c>
      <c r="R16" s="23">
        <v>14</v>
      </c>
      <c r="S16" s="23">
        <v>14</v>
      </c>
      <c r="T16" s="6">
        <v>18</v>
      </c>
      <c r="U16" s="7">
        <v>15</v>
      </c>
      <c r="V16" s="23">
        <v>7</v>
      </c>
      <c r="W16" s="23">
        <v>7</v>
      </c>
      <c r="X16" s="7">
        <v>7</v>
      </c>
      <c r="Y16" s="7">
        <v>6</v>
      </c>
      <c r="Z16" s="13">
        <v>30</v>
      </c>
      <c r="AA16" s="13">
        <v>22</v>
      </c>
      <c r="AB16" s="13">
        <v>15</v>
      </c>
      <c r="AC16" s="7">
        <v>11</v>
      </c>
      <c r="AD16" s="7">
        <v>36</v>
      </c>
      <c r="AE16" s="7">
        <v>27</v>
      </c>
      <c r="AF16" s="8">
        <v>5</v>
      </c>
      <c r="AG16" s="12">
        <v>2</v>
      </c>
      <c r="AH16" s="9">
        <f t="shared" si="0"/>
        <v>317</v>
      </c>
      <c r="AI16" s="10">
        <f t="shared" si="1"/>
        <v>234</v>
      </c>
      <c r="AJ16" s="28">
        <f t="shared" si="2"/>
        <v>73.81703470031546</v>
      </c>
      <c r="AK16" s="15"/>
      <c r="AL16" s="15"/>
      <c r="AM16" s="15"/>
      <c r="AN16" s="15"/>
      <c r="AO16" s="15"/>
    </row>
    <row r="17" spans="1:41" ht="15.75" customHeight="1">
      <c r="A17" s="3">
        <v>13</v>
      </c>
      <c r="B17" s="4" t="s">
        <v>49</v>
      </c>
      <c r="C17" s="51" t="s">
        <v>50</v>
      </c>
      <c r="D17" s="6">
        <v>28</v>
      </c>
      <c r="E17" s="7">
        <v>22</v>
      </c>
      <c r="F17" s="8">
        <v>29</v>
      </c>
      <c r="G17" s="22">
        <v>25</v>
      </c>
      <c r="H17" s="9">
        <v>24</v>
      </c>
      <c r="I17" s="10">
        <v>17</v>
      </c>
      <c r="J17" s="6">
        <v>25</v>
      </c>
      <c r="K17" s="7">
        <v>18</v>
      </c>
      <c r="L17" s="11">
        <v>28</v>
      </c>
      <c r="M17" s="6">
        <v>19</v>
      </c>
      <c r="N17" s="12">
        <v>30</v>
      </c>
      <c r="O17" s="12">
        <v>23</v>
      </c>
      <c r="P17" s="6">
        <v>21</v>
      </c>
      <c r="Q17" s="6">
        <v>15</v>
      </c>
      <c r="R17" s="23">
        <v>14</v>
      </c>
      <c r="S17" s="23">
        <v>12</v>
      </c>
      <c r="T17" s="6">
        <v>18</v>
      </c>
      <c r="U17" s="7">
        <v>18</v>
      </c>
      <c r="V17" s="23">
        <v>7</v>
      </c>
      <c r="W17" s="23">
        <v>6</v>
      </c>
      <c r="X17" s="7">
        <v>7</v>
      </c>
      <c r="Y17" s="7">
        <v>4</v>
      </c>
      <c r="Z17" s="13">
        <v>30</v>
      </c>
      <c r="AA17" s="13">
        <v>16</v>
      </c>
      <c r="AB17" s="13">
        <v>15</v>
      </c>
      <c r="AC17" s="7">
        <v>8</v>
      </c>
      <c r="AD17" s="7">
        <v>36</v>
      </c>
      <c r="AE17" s="7">
        <v>31</v>
      </c>
      <c r="AF17" s="8">
        <v>5</v>
      </c>
      <c r="AG17" s="12">
        <v>4</v>
      </c>
      <c r="AH17" s="9">
        <f t="shared" si="0"/>
        <v>317</v>
      </c>
      <c r="AI17" s="10">
        <f t="shared" si="1"/>
        <v>238</v>
      </c>
      <c r="AJ17" s="28">
        <f t="shared" si="2"/>
        <v>75.078864353312298</v>
      </c>
      <c r="AK17" s="15"/>
      <c r="AL17" s="15"/>
      <c r="AM17" s="15"/>
      <c r="AN17" s="15"/>
      <c r="AO17" s="15"/>
    </row>
    <row r="18" spans="1:41" ht="15.75" customHeight="1">
      <c r="A18" s="3">
        <v>14</v>
      </c>
      <c r="B18" s="4" t="s">
        <v>51</v>
      </c>
      <c r="C18" s="51" t="s">
        <v>52</v>
      </c>
      <c r="D18" s="6">
        <v>28</v>
      </c>
      <c r="E18" s="7">
        <v>20</v>
      </c>
      <c r="F18" s="8">
        <v>29</v>
      </c>
      <c r="G18" s="22">
        <v>22</v>
      </c>
      <c r="H18" s="9">
        <v>24</v>
      </c>
      <c r="I18" s="10">
        <v>13</v>
      </c>
      <c r="J18" s="6">
        <v>25</v>
      </c>
      <c r="K18" s="7">
        <v>17</v>
      </c>
      <c r="L18" s="11">
        <v>28</v>
      </c>
      <c r="M18" s="6">
        <v>18</v>
      </c>
      <c r="N18" s="12">
        <v>30</v>
      </c>
      <c r="O18" s="12">
        <v>19</v>
      </c>
      <c r="P18" s="6">
        <v>21</v>
      </c>
      <c r="Q18" s="6">
        <v>12</v>
      </c>
      <c r="R18" s="23">
        <v>14</v>
      </c>
      <c r="S18" s="23">
        <v>14</v>
      </c>
      <c r="T18" s="6">
        <v>18</v>
      </c>
      <c r="U18" s="7">
        <v>15</v>
      </c>
      <c r="V18" s="23">
        <v>7</v>
      </c>
      <c r="W18" s="23">
        <v>7</v>
      </c>
      <c r="X18" s="7">
        <v>7</v>
      </c>
      <c r="Y18" s="7">
        <v>5</v>
      </c>
      <c r="Z18" s="13">
        <v>30</v>
      </c>
      <c r="AA18" s="13">
        <v>18</v>
      </c>
      <c r="AB18" s="13">
        <v>15</v>
      </c>
      <c r="AC18" s="7">
        <v>9</v>
      </c>
      <c r="AD18" s="7">
        <v>36</v>
      </c>
      <c r="AE18" s="7">
        <v>24</v>
      </c>
      <c r="AF18" s="8">
        <v>5</v>
      </c>
      <c r="AG18" s="12">
        <v>3</v>
      </c>
      <c r="AH18" s="9">
        <f t="shared" si="0"/>
        <v>317</v>
      </c>
      <c r="AI18" s="10">
        <f t="shared" si="1"/>
        <v>216</v>
      </c>
      <c r="AJ18" s="28">
        <f t="shared" si="2"/>
        <v>68.138801261829656</v>
      </c>
      <c r="AK18" s="15"/>
      <c r="AL18" s="15"/>
      <c r="AM18" s="15"/>
      <c r="AN18" s="15"/>
      <c r="AO18" s="15"/>
    </row>
    <row r="19" spans="1:41" ht="15.75" customHeight="1">
      <c r="A19" s="3">
        <v>15</v>
      </c>
      <c r="B19" s="4" t="s">
        <v>53</v>
      </c>
      <c r="C19" s="51" t="s">
        <v>54</v>
      </c>
      <c r="D19" s="6">
        <v>28</v>
      </c>
      <c r="E19" s="7">
        <v>21</v>
      </c>
      <c r="F19" s="8">
        <v>29</v>
      </c>
      <c r="G19" s="22">
        <v>19</v>
      </c>
      <c r="H19" s="9">
        <v>24</v>
      </c>
      <c r="I19" s="10">
        <v>18</v>
      </c>
      <c r="J19" s="6">
        <v>25</v>
      </c>
      <c r="K19" s="7">
        <v>19</v>
      </c>
      <c r="L19" s="11">
        <v>28</v>
      </c>
      <c r="M19" s="6">
        <v>19</v>
      </c>
      <c r="N19" s="12">
        <v>30</v>
      </c>
      <c r="O19" s="12">
        <v>19</v>
      </c>
      <c r="P19" s="6">
        <v>21</v>
      </c>
      <c r="Q19" s="6">
        <v>12</v>
      </c>
      <c r="R19" s="23">
        <v>14</v>
      </c>
      <c r="S19" s="23">
        <v>14</v>
      </c>
      <c r="T19" s="6">
        <v>18</v>
      </c>
      <c r="U19" s="7">
        <v>12</v>
      </c>
      <c r="V19" s="23">
        <v>7</v>
      </c>
      <c r="W19" s="23">
        <v>7</v>
      </c>
      <c r="X19" s="7">
        <v>7</v>
      </c>
      <c r="Y19" s="7">
        <v>5</v>
      </c>
      <c r="Z19" s="13">
        <v>30</v>
      </c>
      <c r="AA19" s="13">
        <v>8</v>
      </c>
      <c r="AB19" s="13">
        <v>15</v>
      </c>
      <c r="AC19" s="7">
        <v>4</v>
      </c>
      <c r="AD19" s="7">
        <v>36</v>
      </c>
      <c r="AE19" s="7">
        <v>20</v>
      </c>
      <c r="AF19" s="8">
        <v>5</v>
      </c>
      <c r="AG19" s="12">
        <v>3</v>
      </c>
      <c r="AH19" s="9">
        <f t="shared" si="0"/>
        <v>317</v>
      </c>
      <c r="AI19" s="10">
        <f t="shared" si="1"/>
        <v>200</v>
      </c>
      <c r="AJ19" s="28">
        <f t="shared" si="2"/>
        <v>63.09148264984227</v>
      </c>
      <c r="AK19" s="15"/>
      <c r="AL19" s="15"/>
      <c r="AM19" s="15"/>
      <c r="AN19" s="15"/>
      <c r="AO19" s="15"/>
    </row>
    <row r="20" spans="1:41" ht="15.75" customHeight="1">
      <c r="A20" s="3">
        <v>16</v>
      </c>
      <c r="B20" s="4" t="s">
        <v>55</v>
      </c>
      <c r="C20" s="51" t="s">
        <v>56</v>
      </c>
      <c r="D20" s="6">
        <v>28</v>
      </c>
      <c r="E20" s="7">
        <v>18</v>
      </c>
      <c r="F20" s="8">
        <v>29</v>
      </c>
      <c r="G20" s="22">
        <v>22</v>
      </c>
      <c r="H20" s="9">
        <v>24</v>
      </c>
      <c r="I20" s="10">
        <v>14</v>
      </c>
      <c r="J20" s="6">
        <v>25</v>
      </c>
      <c r="K20" s="7">
        <v>19</v>
      </c>
      <c r="L20" s="11">
        <v>28</v>
      </c>
      <c r="M20" s="6">
        <v>18</v>
      </c>
      <c r="N20" s="12">
        <v>30</v>
      </c>
      <c r="O20" s="12">
        <v>18</v>
      </c>
      <c r="P20" s="6">
        <v>21</v>
      </c>
      <c r="Q20" s="6">
        <v>15</v>
      </c>
      <c r="R20" s="23">
        <v>14</v>
      </c>
      <c r="S20" s="23">
        <v>12</v>
      </c>
      <c r="T20" s="6">
        <v>18</v>
      </c>
      <c r="U20" s="7">
        <v>12</v>
      </c>
      <c r="V20" s="23">
        <v>7</v>
      </c>
      <c r="W20" s="23">
        <v>6</v>
      </c>
      <c r="X20" s="7">
        <v>7</v>
      </c>
      <c r="Y20" s="7">
        <v>2</v>
      </c>
      <c r="Z20" s="13">
        <v>30</v>
      </c>
      <c r="AA20" s="13">
        <v>14</v>
      </c>
      <c r="AB20" s="13">
        <v>15</v>
      </c>
      <c r="AC20" s="7">
        <v>7</v>
      </c>
      <c r="AD20" s="7">
        <v>36</v>
      </c>
      <c r="AE20" s="7">
        <v>27</v>
      </c>
      <c r="AF20" s="8">
        <v>5</v>
      </c>
      <c r="AG20" s="12">
        <v>4</v>
      </c>
      <c r="AH20" s="9">
        <f t="shared" si="0"/>
        <v>317</v>
      </c>
      <c r="AI20" s="10">
        <f t="shared" si="1"/>
        <v>208</v>
      </c>
      <c r="AJ20" s="28">
        <f t="shared" si="2"/>
        <v>65.615141955835966</v>
      </c>
      <c r="AK20" s="15"/>
      <c r="AL20" s="15"/>
      <c r="AM20" s="15"/>
      <c r="AN20" s="15"/>
      <c r="AO20" s="15"/>
    </row>
    <row r="21" spans="1:41" ht="21" customHeight="1">
      <c r="A21" s="3">
        <v>17</v>
      </c>
      <c r="B21" s="4" t="s">
        <v>57</v>
      </c>
      <c r="C21" s="51" t="s">
        <v>58</v>
      </c>
      <c r="D21" s="6">
        <v>28</v>
      </c>
      <c r="E21" s="7">
        <v>23</v>
      </c>
      <c r="F21" s="8">
        <v>29</v>
      </c>
      <c r="G21" s="22">
        <v>23</v>
      </c>
      <c r="H21" s="9">
        <v>24</v>
      </c>
      <c r="I21" s="10">
        <v>19</v>
      </c>
      <c r="J21" s="6">
        <v>25</v>
      </c>
      <c r="K21" s="7">
        <v>20</v>
      </c>
      <c r="L21" s="11">
        <v>28</v>
      </c>
      <c r="M21" s="6">
        <v>22</v>
      </c>
      <c r="N21" s="12">
        <v>30</v>
      </c>
      <c r="O21" s="12">
        <v>22</v>
      </c>
      <c r="P21" s="6">
        <v>21</v>
      </c>
      <c r="Q21" s="6">
        <v>15</v>
      </c>
      <c r="R21" s="23">
        <v>14</v>
      </c>
      <c r="S21" s="23">
        <v>12</v>
      </c>
      <c r="T21" s="6">
        <v>18</v>
      </c>
      <c r="U21" s="7">
        <v>15</v>
      </c>
      <c r="V21" s="23">
        <v>7</v>
      </c>
      <c r="W21" s="23">
        <v>6</v>
      </c>
      <c r="X21" s="7">
        <v>7</v>
      </c>
      <c r="Y21" s="7">
        <v>5</v>
      </c>
      <c r="Z21" s="13">
        <v>30</v>
      </c>
      <c r="AA21" s="13">
        <v>18</v>
      </c>
      <c r="AB21" s="13">
        <v>15</v>
      </c>
      <c r="AC21" s="7">
        <v>9</v>
      </c>
      <c r="AD21" s="7">
        <v>36</v>
      </c>
      <c r="AE21" s="7">
        <v>31</v>
      </c>
      <c r="AF21" s="8">
        <v>5</v>
      </c>
      <c r="AG21" s="12">
        <v>4</v>
      </c>
      <c r="AH21" s="9">
        <f t="shared" si="0"/>
        <v>317</v>
      </c>
      <c r="AI21" s="10">
        <f t="shared" si="1"/>
        <v>244</v>
      </c>
      <c r="AJ21" s="28">
        <f t="shared" si="2"/>
        <v>76.971608832807576</v>
      </c>
      <c r="AK21" s="15"/>
      <c r="AL21" s="15"/>
      <c r="AM21" s="15"/>
      <c r="AN21" s="15"/>
      <c r="AO21" s="15"/>
    </row>
    <row r="22" spans="1:41" ht="15.75" customHeight="1">
      <c r="A22" s="3">
        <v>18</v>
      </c>
      <c r="B22" s="4" t="s">
        <v>59</v>
      </c>
      <c r="C22" s="51" t="s">
        <v>60</v>
      </c>
      <c r="D22" s="6">
        <v>28</v>
      </c>
      <c r="E22" s="7">
        <v>21</v>
      </c>
      <c r="F22" s="8">
        <v>29</v>
      </c>
      <c r="G22" s="22">
        <v>26</v>
      </c>
      <c r="H22" s="9">
        <v>24</v>
      </c>
      <c r="I22" s="10">
        <v>17</v>
      </c>
      <c r="J22" s="6">
        <v>25</v>
      </c>
      <c r="K22" s="7">
        <v>21</v>
      </c>
      <c r="L22" s="11">
        <v>28</v>
      </c>
      <c r="M22" s="6">
        <v>21</v>
      </c>
      <c r="N22" s="12">
        <v>30</v>
      </c>
      <c r="O22" s="12">
        <v>22</v>
      </c>
      <c r="P22" s="6">
        <v>21</v>
      </c>
      <c r="Q22" s="6">
        <v>18</v>
      </c>
      <c r="R22" s="23">
        <v>14</v>
      </c>
      <c r="S22" s="23">
        <v>14</v>
      </c>
      <c r="T22" s="6">
        <v>18</v>
      </c>
      <c r="U22" s="7">
        <v>15</v>
      </c>
      <c r="V22" s="23">
        <v>7</v>
      </c>
      <c r="W22" s="23">
        <v>7</v>
      </c>
      <c r="X22" s="7">
        <v>7</v>
      </c>
      <c r="Y22" s="7">
        <v>4</v>
      </c>
      <c r="Z22" s="13">
        <v>30</v>
      </c>
      <c r="AA22" s="13">
        <v>20</v>
      </c>
      <c r="AB22" s="13">
        <v>15</v>
      </c>
      <c r="AC22" s="7">
        <v>10</v>
      </c>
      <c r="AD22" s="7">
        <v>36</v>
      </c>
      <c r="AE22" s="7">
        <v>29</v>
      </c>
      <c r="AF22" s="8">
        <v>5</v>
      </c>
      <c r="AG22" s="12">
        <v>4</v>
      </c>
      <c r="AH22" s="9">
        <f t="shared" si="0"/>
        <v>317</v>
      </c>
      <c r="AI22" s="10">
        <f t="shared" si="1"/>
        <v>249</v>
      </c>
      <c r="AJ22" s="28">
        <f t="shared" si="2"/>
        <v>78.548895899053633</v>
      </c>
      <c r="AK22" s="15"/>
      <c r="AL22" s="15"/>
      <c r="AM22" s="15"/>
      <c r="AN22" s="15"/>
      <c r="AO22" s="15"/>
    </row>
    <row r="23" spans="1:41" ht="15.75" customHeight="1">
      <c r="A23" s="3">
        <v>19</v>
      </c>
      <c r="B23" s="4" t="s">
        <v>61</v>
      </c>
      <c r="C23" s="51" t="s">
        <v>62</v>
      </c>
      <c r="D23" s="6">
        <v>28</v>
      </c>
      <c r="E23" s="7">
        <v>25</v>
      </c>
      <c r="F23" s="8">
        <v>29</v>
      </c>
      <c r="G23" s="22">
        <v>27</v>
      </c>
      <c r="H23" s="9">
        <v>24</v>
      </c>
      <c r="I23" s="10">
        <v>20</v>
      </c>
      <c r="J23" s="6">
        <v>25</v>
      </c>
      <c r="K23" s="7">
        <v>19</v>
      </c>
      <c r="L23" s="11">
        <v>28</v>
      </c>
      <c r="M23" s="6">
        <v>23</v>
      </c>
      <c r="N23" s="12">
        <v>30</v>
      </c>
      <c r="O23" s="12">
        <v>25</v>
      </c>
      <c r="P23" s="6">
        <v>21</v>
      </c>
      <c r="Q23" s="6">
        <v>18</v>
      </c>
      <c r="R23" s="23">
        <v>14</v>
      </c>
      <c r="S23" s="23">
        <v>14</v>
      </c>
      <c r="T23" s="6">
        <v>18</v>
      </c>
      <c r="U23" s="7">
        <v>15</v>
      </c>
      <c r="V23" s="23">
        <v>7</v>
      </c>
      <c r="W23" s="23">
        <v>7</v>
      </c>
      <c r="X23" s="7">
        <v>7</v>
      </c>
      <c r="Y23" s="7">
        <v>6</v>
      </c>
      <c r="Z23" s="13">
        <v>30</v>
      </c>
      <c r="AA23" s="13">
        <v>24</v>
      </c>
      <c r="AB23" s="13">
        <v>15</v>
      </c>
      <c r="AC23" s="7">
        <v>12</v>
      </c>
      <c r="AD23" s="7">
        <v>36</v>
      </c>
      <c r="AE23" s="7">
        <v>34</v>
      </c>
      <c r="AF23" s="8">
        <v>5</v>
      </c>
      <c r="AG23" s="12">
        <v>4</v>
      </c>
      <c r="AH23" s="9">
        <f t="shared" si="0"/>
        <v>317</v>
      </c>
      <c r="AI23" s="10">
        <f t="shared" si="1"/>
        <v>273</v>
      </c>
      <c r="AJ23" s="28">
        <f t="shared" si="2"/>
        <v>86.119873817034701</v>
      </c>
      <c r="AK23" s="15"/>
      <c r="AL23" s="15"/>
      <c r="AM23" s="15"/>
      <c r="AN23" s="15"/>
      <c r="AO23" s="15"/>
    </row>
    <row r="24" spans="1:41" ht="15.75" customHeight="1">
      <c r="A24" s="3">
        <v>20</v>
      </c>
      <c r="B24" s="4" t="s">
        <v>63</v>
      </c>
      <c r="C24" s="51" t="s">
        <v>64</v>
      </c>
      <c r="D24" s="6">
        <v>28</v>
      </c>
      <c r="E24" s="7">
        <v>20</v>
      </c>
      <c r="F24" s="8">
        <v>29</v>
      </c>
      <c r="G24" s="22">
        <v>24</v>
      </c>
      <c r="H24" s="9">
        <v>24</v>
      </c>
      <c r="I24" s="10">
        <v>15</v>
      </c>
      <c r="J24" s="6">
        <v>25</v>
      </c>
      <c r="K24" s="7">
        <v>19</v>
      </c>
      <c r="L24" s="11">
        <v>28</v>
      </c>
      <c r="M24" s="6">
        <v>19</v>
      </c>
      <c r="N24" s="12">
        <v>30</v>
      </c>
      <c r="O24" s="12">
        <v>22</v>
      </c>
      <c r="P24" s="6">
        <v>21</v>
      </c>
      <c r="Q24" s="6">
        <v>15</v>
      </c>
      <c r="R24" s="23">
        <v>14</v>
      </c>
      <c r="S24" s="23">
        <v>14</v>
      </c>
      <c r="T24" s="6">
        <v>18</v>
      </c>
      <c r="U24" s="7">
        <v>15</v>
      </c>
      <c r="V24" s="23">
        <v>7</v>
      </c>
      <c r="W24" s="23">
        <v>7</v>
      </c>
      <c r="X24" s="7">
        <v>7</v>
      </c>
      <c r="Y24" s="7">
        <v>3</v>
      </c>
      <c r="Z24" s="13">
        <v>30</v>
      </c>
      <c r="AA24" s="13">
        <v>18</v>
      </c>
      <c r="AB24" s="13">
        <v>15</v>
      </c>
      <c r="AC24" s="7">
        <v>9</v>
      </c>
      <c r="AD24" s="7">
        <v>36</v>
      </c>
      <c r="AE24" s="7">
        <v>28</v>
      </c>
      <c r="AF24" s="8">
        <v>5</v>
      </c>
      <c r="AG24" s="12">
        <v>4</v>
      </c>
      <c r="AH24" s="9">
        <f t="shared" si="0"/>
        <v>317</v>
      </c>
      <c r="AI24" s="10">
        <f t="shared" si="1"/>
        <v>232</v>
      </c>
      <c r="AJ24" s="28">
        <f t="shared" si="2"/>
        <v>73.186119873817034</v>
      </c>
      <c r="AK24" s="15"/>
      <c r="AL24" s="15"/>
      <c r="AM24" s="15"/>
      <c r="AN24" s="15">
        <v>27</v>
      </c>
      <c r="AO24" s="15"/>
    </row>
    <row r="25" spans="1:41" ht="15.75" customHeight="1">
      <c r="A25" s="3">
        <v>21</v>
      </c>
      <c r="B25" s="4" t="s">
        <v>65</v>
      </c>
      <c r="C25" s="51" t="s">
        <v>66</v>
      </c>
      <c r="D25" s="6">
        <v>28</v>
      </c>
      <c r="E25" s="7">
        <v>26</v>
      </c>
      <c r="F25" s="8">
        <v>29</v>
      </c>
      <c r="G25" s="22">
        <v>26</v>
      </c>
      <c r="H25" s="9">
        <v>24</v>
      </c>
      <c r="I25" s="16">
        <v>22</v>
      </c>
      <c r="J25" s="6">
        <v>25</v>
      </c>
      <c r="K25" s="7">
        <v>23</v>
      </c>
      <c r="L25" s="11">
        <v>28</v>
      </c>
      <c r="M25" s="6">
        <v>27</v>
      </c>
      <c r="N25" s="12">
        <v>30</v>
      </c>
      <c r="O25" s="12">
        <v>28</v>
      </c>
      <c r="P25" s="6">
        <v>21</v>
      </c>
      <c r="Q25" s="6">
        <v>21</v>
      </c>
      <c r="R25" s="23">
        <v>14</v>
      </c>
      <c r="S25" s="23">
        <v>14</v>
      </c>
      <c r="T25" s="6">
        <v>18</v>
      </c>
      <c r="U25" s="7">
        <v>18</v>
      </c>
      <c r="V25" s="23">
        <v>7</v>
      </c>
      <c r="W25" s="23">
        <v>7</v>
      </c>
      <c r="X25" s="7">
        <v>7</v>
      </c>
      <c r="Y25" s="7">
        <v>5</v>
      </c>
      <c r="Z25" s="13">
        <v>30</v>
      </c>
      <c r="AA25" s="13">
        <v>22</v>
      </c>
      <c r="AB25" s="13">
        <v>15</v>
      </c>
      <c r="AC25" s="7">
        <v>11</v>
      </c>
      <c r="AD25" s="7">
        <v>36</v>
      </c>
      <c r="AE25" s="7">
        <v>36</v>
      </c>
      <c r="AF25" s="8">
        <v>5</v>
      </c>
      <c r="AG25" s="12">
        <v>5</v>
      </c>
      <c r="AH25" s="9">
        <f t="shared" si="0"/>
        <v>317</v>
      </c>
      <c r="AI25" s="10">
        <f t="shared" si="1"/>
        <v>291</v>
      </c>
      <c r="AJ25" s="28">
        <f t="shared" si="2"/>
        <v>91.798107255520506</v>
      </c>
      <c r="AK25" s="15"/>
      <c r="AL25" s="15"/>
      <c r="AM25" s="15"/>
      <c r="AN25" s="15"/>
      <c r="AO25" s="15"/>
    </row>
    <row r="26" spans="1:41" ht="15.75" customHeight="1">
      <c r="A26" s="3">
        <v>22</v>
      </c>
      <c r="B26" s="4" t="s">
        <v>67</v>
      </c>
      <c r="C26" s="51" t="s">
        <v>68</v>
      </c>
      <c r="D26" s="6">
        <v>28</v>
      </c>
      <c r="E26" s="7">
        <v>26</v>
      </c>
      <c r="F26" s="8">
        <v>29</v>
      </c>
      <c r="G26" s="22">
        <v>25</v>
      </c>
      <c r="H26" s="9">
        <v>24</v>
      </c>
      <c r="I26" s="10">
        <v>23</v>
      </c>
      <c r="J26" s="6">
        <v>25</v>
      </c>
      <c r="K26" s="7">
        <v>24</v>
      </c>
      <c r="L26" s="11">
        <v>28</v>
      </c>
      <c r="M26" s="6">
        <v>25</v>
      </c>
      <c r="N26" s="12">
        <v>30</v>
      </c>
      <c r="O26" s="12">
        <v>27</v>
      </c>
      <c r="P26" s="6">
        <v>21</v>
      </c>
      <c r="Q26" s="6">
        <v>21</v>
      </c>
      <c r="R26" s="23">
        <v>14</v>
      </c>
      <c r="S26" s="23">
        <v>14</v>
      </c>
      <c r="T26" s="6">
        <v>18</v>
      </c>
      <c r="U26" s="7">
        <v>15</v>
      </c>
      <c r="V26" s="23">
        <v>7</v>
      </c>
      <c r="W26" s="23">
        <v>7</v>
      </c>
      <c r="X26" s="7">
        <v>7</v>
      </c>
      <c r="Y26" s="7">
        <v>7</v>
      </c>
      <c r="Z26" s="13">
        <v>30</v>
      </c>
      <c r="AA26" s="13">
        <v>24</v>
      </c>
      <c r="AB26" s="13">
        <v>15</v>
      </c>
      <c r="AC26" s="7">
        <v>12</v>
      </c>
      <c r="AD26" s="7">
        <v>36</v>
      </c>
      <c r="AE26" s="7">
        <v>33</v>
      </c>
      <c r="AF26" s="8">
        <v>5</v>
      </c>
      <c r="AG26" s="12">
        <v>5</v>
      </c>
      <c r="AH26" s="9">
        <f t="shared" si="0"/>
        <v>317</v>
      </c>
      <c r="AI26" s="10">
        <f t="shared" si="1"/>
        <v>288</v>
      </c>
      <c r="AJ26" s="28">
        <f t="shared" si="2"/>
        <v>90.851735015772874</v>
      </c>
      <c r="AK26" s="15"/>
      <c r="AL26" s="15"/>
      <c r="AM26" s="15"/>
      <c r="AN26" s="15"/>
      <c r="AO26" s="15"/>
    </row>
    <row r="27" spans="1:41" ht="15.75" customHeight="1">
      <c r="A27" s="3">
        <v>23</v>
      </c>
      <c r="B27" s="4" t="s">
        <v>69</v>
      </c>
      <c r="C27" s="51" t="s">
        <v>70</v>
      </c>
      <c r="D27" s="6">
        <v>28</v>
      </c>
      <c r="E27" s="7">
        <v>22</v>
      </c>
      <c r="F27" s="8">
        <v>29</v>
      </c>
      <c r="G27" s="22">
        <v>21</v>
      </c>
      <c r="H27" s="9">
        <v>24</v>
      </c>
      <c r="I27" s="10">
        <v>18</v>
      </c>
      <c r="J27" s="6">
        <v>25</v>
      </c>
      <c r="K27" s="7">
        <v>20</v>
      </c>
      <c r="L27" s="11">
        <v>28</v>
      </c>
      <c r="M27" s="6">
        <v>21</v>
      </c>
      <c r="N27" s="12">
        <v>30</v>
      </c>
      <c r="O27" s="12">
        <v>21</v>
      </c>
      <c r="P27" s="6">
        <v>21</v>
      </c>
      <c r="Q27" s="6">
        <v>21</v>
      </c>
      <c r="R27" s="26">
        <v>16</v>
      </c>
      <c r="S27" s="26">
        <v>13</v>
      </c>
      <c r="T27" s="6">
        <v>18</v>
      </c>
      <c r="U27" s="7">
        <v>12</v>
      </c>
      <c r="V27" s="26">
        <v>8</v>
      </c>
      <c r="W27" s="26">
        <v>8</v>
      </c>
      <c r="X27" s="7">
        <v>7</v>
      </c>
      <c r="Y27" s="7">
        <v>6</v>
      </c>
      <c r="Z27" s="13">
        <v>30</v>
      </c>
      <c r="AA27" s="13">
        <v>18</v>
      </c>
      <c r="AB27" s="13">
        <v>15</v>
      </c>
      <c r="AC27" s="7">
        <v>9</v>
      </c>
      <c r="AD27" s="7">
        <v>36</v>
      </c>
      <c r="AE27" s="7">
        <v>23</v>
      </c>
      <c r="AF27" s="8">
        <v>5</v>
      </c>
      <c r="AG27" s="12">
        <v>3</v>
      </c>
      <c r="AH27" s="9">
        <f t="shared" si="0"/>
        <v>320</v>
      </c>
      <c r="AI27" s="10">
        <f t="shared" si="1"/>
        <v>236</v>
      </c>
      <c r="AJ27" s="28">
        <f t="shared" si="2"/>
        <v>73.75</v>
      </c>
      <c r="AK27" s="15"/>
      <c r="AL27" s="15"/>
      <c r="AM27" s="15"/>
      <c r="AN27" s="15"/>
      <c r="AO27" s="15"/>
    </row>
    <row r="28" spans="1:41" ht="15.75" customHeight="1">
      <c r="A28" s="3">
        <v>24</v>
      </c>
      <c r="B28" s="4" t="s">
        <v>71</v>
      </c>
      <c r="C28" s="51" t="s">
        <v>72</v>
      </c>
      <c r="D28" s="6">
        <v>28</v>
      </c>
      <c r="E28" s="7">
        <v>23</v>
      </c>
      <c r="F28" s="8">
        <v>29</v>
      </c>
      <c r="G28" s="22">
        <v>25</v>
      </c>
      <c r="H28" s="9">
        <v>24</v>
      </c>
      <c r="I28" s="10">
        <v>19</v>
      </c>
      <c r="J28" s="6">
        <v>25</v>
      </c>
      <c r="K28" s="7">
        <v>24</v>
      </c>
      <c r="L28" s="11">
        <v>28</v>
      </c>
      <c r="M28" s="6">
        <v>21</v>
      </c>
      <c r="N28" s="12">
        <v>30</v>
      </c>
      <c r="O28" s="12">
        <v>22</v>
      </c>
      <c r="P28" s="6">
        <v>21</v>
      </c>
      <c r="Q28" s="6">
        <v>21</v>
      </c>
      <c r="R28" s="26">
        <v>16</v>
      </c>
      <c r="S28" s="26">
        <v>13</v>
      </c>
      <c r="T28" s="6">
        <v>18</v>
      </c>
      <c r="U28" s="7">
        <v>15</v>
      </c>
      <c r="V28" s="26">
        <v>8</v>
      </c>
      <c r="W28" s="26">
        <v>7</v>
      </c>
      <c r="X28" s="7">
        <v>7</v>
      </c>
      <c r="Y28" s="7">
        <v>7</v>
      </c>
      <c r="Z28" s="13">
        <v>30</v>
      </c>
      <c r="AA28" s="13">
        <v>26</v>
      </c>
      <c r="AB28" s="13">
        <v>15</v>
      </c>
      <c r="AC28" s="7">
        <v>13</v>
      </c>
      <c r="AD28" s="7">
        <v>36</v>
      </c>
      <c r="AE28" s="7">
        <v>30</v>
      </c>
      <c r="AF28" s="8">
        <v>5</v>
      </c>
      <c r="AG28" s="12">
        <v>4</v>
      </c>
      <c r="AH28" s="9">
        <f t="shared" si="0"/>
        <v>320</v>
      </c>
      <c r="AI28" s="10">
        <f t="shared" si="1"/>
        <v>270</v>
      </c>
      <c r="AJ28" s="28">
        <f t="shared" si="2"/>
        <v>84.375</v>
      </c>
      <c r="AK28" s="15"/>
      <c r="AL28" s="15"/>
      <c r="AM28" s="15"/>
      <c r="AN28" s="15"/>
      <c r="AO28" s="15"/>
    </row>
    <row r="29" spans="1:41" ht="15.75" customHeight="1">
      <c r="A29" s="3">
        <v>25</v>
      </c>
      <c r="B29" s="4" t="s">
        <v>73</v>
      </c>
      <c r="C29" s="52" t="s">
        <v>74</v>
      </c>
      <c r="D29" s="6">
        <v>28</v>
      </c>
      <c r="E29" s="7">
        <v>27</v>
      </c>
      <c r="F29" s="8">
        <v>29</v>
      </c>
      <c r="G29" s="22">
        <v>28</v>
      </c>
      <c r="H29" s="9">
        <v>24</v>
      </c>
      <c r="I29" s="10">
        <v>23</v>
      </c>
      <c r="J29" s="6">
        <v>25</v>
      </c>
      <c r="K29" s="7">
        <v>24</v>
      </c>
      <c r="L29" s="11">
        <v>28</v>
      </c>
      <c r="M29" s="6">
        <v>27</v>
      </c>
      <c r="N29" s="12">
        <v>30</v>
      </c>
      <c r="O29" s="12">
        <v>29</v>
      </c>
      <c r="P29" s="6">
        <v>21</v>
      </c>
      <c r="Q29" s="6">
        <v>21</v>
      </c>
      <c r="R29" s="23">
        <v>16</v>
      </c>
      <c r="S29" s="23">
        <v>16</v>
      </c>
      <c r="T29" s="6">
        <v>18</v>
      </c>
      <c r="U29" s="7">
        <v>15</v>
      </c>
      <c r="V29" s="23">
        <v>8</v>
      </c>
      <c r="W29" s="23">
        <v>7</v>
      </c>
      <c r="X29" s="7">
        <v>7</v>
      </c>
      <c r="Y29" s="7">
        <v>6</v>
      </c>
      <c r="Z29" s="13">
        <v>30</v>
      </c>
      <c r="AA29" s="13">
        <v>22</v>
      </c>
      <c r="AB29" s="13">
        <v>15</v>
      </c>
      <c r="AC29" s="7">
        <v>11</v>
      </c>
      <c r="AD29" s="7">
        <v>36</v>
      </c>
      <c r="AE29" s="7">
        <v>36</v>
      </c>
      <c r="AF29" s="8">
        <v>5</v>
      </c>
      <c r="AG29" s="12">
        <v>5</v>
      </c>
      <c r="AH29" s="9">
        <f t="shared" si="0"/>
        <v>320</v>
      </c>
      <c r="AI29" s="10">
        <f t="shared" si="1"/>
        <v>297</v>
      </c>
      <c r="AJ29" s="28">
        <f t="shared" si="2"/>
        <v>92.8125</v>
      </c>
      <c r="AK29" s="15"/>
      <c r="AL29" s="15"/>
      <c r="AM29" s="15"/>
      <c r="AN29" s="15"/>
      <c r="AO29" s="15"/>
    </row>
    <row r="30" spans="1:41" ht="15.75" customHeight="1">
      <c r="A30" s="3">
        <v>26</v>
      </c>
      <c r="B30" s="4" t="s">
        <v>75</v>
      </c>
      <c r="C30" s="52" t="s">
        <v>76</v>
      </c>
      <c r="D30" s="6">
        <v>28</v>
      </c>
      <c r="E30" s="7">
        <v>26</v>
      </c>
      <c r="F30" s="8">
        <v>29</v>
      </c>
      <c r="G30" s="22">
        <v>24</v>
      </c>
      <c r="H30" s="9">
        <v>24</v>
      </c>
      <c r="I30" s="10">
        <v>21</v>
      </c>
      <c r="J30" s="6">
        <v>25</v>
      </c>
      <c r="K30" s="7">
        <v>21</v>
      </c>
      <c r="L30" s="11">
        <v>28</v>
      </c>
      <c r="M30" s="6">
        <v>24</v>
      </c>
      <c r="N30" s="12">
        <v>30</v>
      </c>
      <c r="O30" s="12">
        <v>27</v>
      </c>
      <c r="P30" s="6">
        <v>21</v>
      </c>
      <c r="Q30" s="6">
        <v>21</v>
      </c>
      <c r="R30" s="23">
        <v>16</v>
      </c>
      <c r="S30" s="23">
        <v>14</v>
      </c>
      <c r="T30" s="6">
        <v>18</v>
      </c>
      <c r="U30" s="7">
        <v>15</v>
      </c>
      <c r="V30" s="23">
        <v>8</v>
      </c>
      <c r="W30" s="23">
        <v>8</v>
      </c>
      <c r="X30" s="7">
        <v>7</v>
      </c>
      <c r="Y30" s="7">
        <v>7</v>
      </c>
      <c r="Z30" s="13">
        <v>30</v>
      </c>
      <c r="AA30" s="13">
        <v>20</v>
      </c>
      <c r="AB30" s="13">
        <v>15</v>
      </c>
      <c r="AC30" s="7">
        <v>10</v>
      </c>
      <c r="AD30" s="7">
        <v>36</v>
      </c>
      <c r="AE30" s="7">
        <v>33</v>
      </c>
      <c r="AF30" s="8">
        <v>5</v>
      </c>
      <c r="AG30" s="12">
        <v>5</v>
      </c>
      <c r="AH30" s="9">
        <f t="shared" si="0"/>
        <v>320</v>
      </c>
      <c r="AI30" s="10">
        <f t="shared" si="1"/>
        <v>276</v>
      </c>
      <c r="AJ30" s="28">
        <f t="shared" si="2"/>
        <v>86.25</v>
      </c>
      <c r="AK30" s="15"/>
      <c r="AL30" s="15"/>
      <c r="AM30" s="15"/>
      <c r="AN30" s="15"/>
      <c r="AO30" s="15"/>
    </row>
    <row r="31" spans="1:41" ht="15.75" customHeight="1">
      <c r="A31" s="3">
        <v>27</v>
      </c>
      <c r="B31" s="4" t="s">
        <v>77</v>
      </c>
      <c r="C31" s="52" t="s">
        <v>78</v>
      </c>
      <c r="D31" s="6">
        <v>28</v>
      </c>
      <c r="E31" s="7">
        <v>25</v>
      </c>
      <c r="F31" s="8">
        <v>29</v>
      </c>
      <c r="G31" s="22">
        <v>28</v>
      </c>
      <c r="H31" s="9">
        <v>24</v>
      </c>
      <c r="I31" s="10">
        <v>19</v>
      </c>
      <c r="J31" s="6">
        <v>25</v>
      </c>
      <c r="K31" s="7">
        <v>23</v>
      </c>
      <c r="L31" s="11">
        <v>28</v>
      </c>
      <c r="M31" s="6">
        <v>23</v>
      </c>
      <c r="N31" s="12">
        <v>30</v>
      </c>
      <c r="O31" s="12">
        <v>28</v>
      </c>
      <c r="P31" s="6">
        <v>21</v>
      </c>
      <c r="Q31" s="6">
        <v>21</v>
      </c>
      <c r="R31" s="23">
        <v>16</v>
      </c>
      <c r="S31" s="23">
        <v>16</v>
      </c>
      <c r="T31" s="6">
        <v>18</v>
      </c>
      <c r="U31" s="7">
        <v>12</v>
      </c>
      <c r="V31" s="23">
        <v>8</v>
      </c>
      <c r="W31" s="23">
        <v>8</v>
      </c>
      <c r="X31" s="7">
        <v>7</v>
      </c>
      <c r="Y31" s="7">
        <v>5</v>
      </c>
      <c r="Z31" s="13">
        <v>30</v>
      </c>
      <c r="AA31" s="13">
        <v>24</v>
      </c>
      <c r="AB31" s="13">
        <v>15</v>
      </c>
      <c r="AC31" s="7">
        <v>12</v>
      </c>
      <c r="AD31" s="7">
        <v>36</v>
      </c>
      <c r="AE31" s="7">
        <v>36</v>
      </c>
      <c r="AF31" s="8">
        <v>5</v>
      </c>
      <c r="AG31" s="12">
        <v>4</v>
      </c>
      <c r="AH31" s="9">
        <f t="shared" si="0"/>
        <v>320</v>
      </c>
      <c r="AI31" s="10">
        <f t="shared" si="1"/>
        <v>284</v>
      </c>
      <c r="AJ31" s="28">
        <f t="shared" si="2"/>
        <v>88.75</v>
      </c>
      <c r="AK31" s="15"/>
      <c r="AL31" s="15"/>
      <c r="AM31" s="15"/>
      <c r="AN31" s="15"/>
      <c r="AO31" s="15"/>
    </row>
    <row r="32" spans="1:41" ht="15.75" customHeight="1">
      <c r="A32" s="3">
        <v>28</v>
      </c>
      <c r="B32" s="4" t="s">
        <v>79</v>
      </c>
      <c r="C32" s="52" t="s">
        <v>80</v>
      </c>
      <c r="D32" s="6">
        <v>28</v>
      </c>
      <c r="E32" s="7">
        <v>26</v>
      </c>
      <c r="F32" s="8">
        <v>29</v>
      </c>
      <c r="G32" s="22">
        <v>26</v>
      </c>
      <c r="H32" s="9">
        <v>24</v>
      </c>
      <c r="I32" s="10">
        <v>22</v>
      </c>
      <c r="J32" s="6">
        <v>25</v>
      </c>
      <c r="K32" s="7">
        <v>22</v>
      </c>
      <c r="L32" s="11">
        <v>28</v>
      </c>
      <c r="M32" s="6">
        <v>24</v>
      </c>
      <c r="N32" s="12">
        <v>30</v>
      </c>
      <c r="O32" s="12">
        <v>27</v>
      </c>
      <c r="P32" s="6">
        <v>21</v>
      </c>
      <c r="Q32" s="6">
        <v>21</v>
      </c>
      <c r="R32" s="23">
        <v>16</v>
      </c>
      <c r="S32" s="23">
        <v>14</v>
      </c>
      <c r="T32" s="6">
        <v>18</v>
      </c>
      <c r="U32" s="7">
        <v>18</v>
      </c>
      <c r="V32" s="23">
        <v>8</v>
      </c>
      <c r="W32" s="23">
        <v>8</v>
      </c>
      <c r="X32" s="7">
        <v>7</v>
      </c>
      <c r="Y32" s="7">
        <v>6</v>
      </c>
      <c r="Z32" s="13">
        <v>30</v>
      </c>
      <c r="AA32" s="13">
        <v>24</v>
      </c>
      <c r="AB32" s="13">
        <v>15</v>
      </c>
      <c r="AC32" s="7">
        <v>12</v>
      </c>
      <c r="AD32" s="7">
        <v>36</v>
      </c>
      <c r="AE32" s="7">
        <v>33</v>
      </c>
      <c r="AF32" s="8">
        <v>5</v>
      </c>
      <c r="AG32" s="12">
        <v>5</v>
      </c>
      <c r="AH32" s="9">
        <f t="shared" si="0"/>
        <v>320</v>
      </c>
      <c r="AI32" s="10">
        <f t="shared" si="1"/>
        <v>288</v>
      </c>
      <c r="AJ32" s="28">
        <f t="shared" si="2"/>
        <v>90</v>
      </c>
      <c r="AK32" s="15"/>
      <c r="AL32" s="15"/>
      <c r="AM32" s="15"/>
      <c r="AN32" s="15"/>
      <c r="AO32" s="15"/>
    </row>
    <row r="33" spans="1:41" ht="15.75" customHeight="1">
      <c r="A33" s="3">
        <v>29</v>
      </c>
      <c r="B33" s="4" t="s">
        <v>81</v>
      </c>
      <c r="C33" s="52" t="s">
        <v>82</v>
      </c>
      <c r="D33" s="6">
        <v>28</v>
      </c>
      <c r="E33" s="7">
        <v>26</v>
      </c>
      <c r="F33" s="8">
        <v>29</v>
      </c>
      <c r="G33" s="22">
        <v>25</v>
      </c>
      <c r="H33" s="9">
        <v>24</v>
      </c>
      <c r="I33" s="10">
        <v>23</v>
      </c>
      <c r="J33" s="6">
        <v>25</v>
      </c>
      <c r="K33" s="7">
        <v>23</v>
      </c>
      <c r="L33" s="11">
        <v>28</v>
      </c>
      <c r="M33" s="6">
        <v>25</v>
      </c>
      <c r="N33" s="12">
        <v>30</v>
      </c>
      <c r="O33" s="12">
        <v>25</v>
      </c>
      <c r="P33" s="6">
        <v>21</v>
      </c>
      <c r="Q33" s="6">
        <v>21</v>
      </c>
      <c r="R33" s="23">
        <v>16</v>
      </c>
      <c r="S33" s="23">
        <v>16</v>
      </c>
      <c r="T33" s="6">
        <v>18</v>
      </c>
      <c r="U33" s="7">
        <v>15</v>
      </c>
      <c r="V33" s="23">
        <v>8</v>
      </c>
      <c r="W33" s="23">
        <v>8</v>
      </c>
      <c r="X33" s="7">
        <v>7</v>
      </c>
      <c r="Y33" s="7">
        <v>7</v>
      </c>
      <c r="Z33" s="13">
        <v>30</v>
      </c>
      <c r="AA33" s="13">
        <v>16</v>
      </c>
      <c r="AB33" s="13">
        <v>15</v>
      </c>
      <c r="AC33" s="7">
        <v>8</v>
      </c>
      <c r="AD33" s="7">
        <v>36</v>
      </c>
      <c r="AE33" s="7">
        <v>36</v>
      </c>
      <c r="AF33" s="8">
        <v>5</v>
      </c>
      <c r="AG33" s="12">
        <v>5</v>
      </c>
      <c r="AH33" s="9">
        <f t="shared" si="0"/>
        <v>320</v>
      </c>
      <c r="AI33" s="10">
        <f t="shared" si="1"/>
        <v>279</v>
      </c>
      <c r="AJ33" s="28">
        <f t="shared" si="2"/>
        <v>87.1875</v>
      </c>
      <c r="AK33" s="15"/>
      <c r="AL33" s="15"/>
      <c r="AM33" s="15"/>
      <c r="AN33" s="15"/>
      <c r="AO33" s="15"/>
    </row>
    <row r="34" spans="1:41" ht="15.75" customHeight="1">
      <c r="A34" s="3">
        <v>30</v>
      </c>
      <c r="B34" s="4" t="s">
        <v>83</v>
      </c>
      <c r="C34" s="52" t="s">
        <v>84</v>
      </c>
      <c r="D34" s="6">
        <v>28</v>
      </c>
      <c r="E34" s="7">
        <v>25</v>
      </c>
      <c r="F34" s="8">
        <v>29</v>
      </c>
      <c r="G34" s="22">
        <v>24</v>
      </c>
      <c r="H34" s="9">
        <v>24</v>
      </c>
      <c r="I34" s="10">
        <v>18</v>
      </c>
      <c r="J34" s="6">
        <v>25</v>
      </c>
      <c r="K34" s="7">
        <v>23</v>
      </c>
      <c r="L34" s="11">
        <v>28</v>
      </c>
      <c r="M34" s="6">
        <v>21</v>
      </c>
      <c r="N34" s="12">
        <v>30</v>
      </c>
      <c r="O34" s="12">
        <v>27</v>
      </c>
      <c r="P34" s="6">
        <v>21</v>
      </c>
      <c r="Q34" s="6">
        <v>21</v>
      </c>
      <c r="R34" s="23">
        <v>16</v>
      </c>
      <c r="S34" s="23">
        <v>16</v>
      </c>
      <c r="T34" s="6">
        <v>18</v>
      </c>
      <c r="U34" s="7">
        <v>18</v>
      </c>
      <c r="V34" s="23">
        <v>8</v>
      </c>
      <c r="W34" s="23">
        <v>8</v>
      </c>
      <c r="X34" s="7">
        <v>7</v>
      </c>
      <c r="Y34" s="7">
        <v>7</v>
      </c>
      <c r="Z34" s="13">
        <v>30</v>
      </c>
      <c r="AA34" s="13">
        <v>24</v>
      </c>
      <c r="AB34" s="13">
        <v>15</v>
      </c>
      <c r="AC34" s="7">
        <v>12</v>
      </c>
      <c r="AD34" s="7">
        <v>36</v>
      </c>
      <c r="AE34" s="7">
        <v>30</v>
      </c>
      <c r="AF34" s="8">
        <v>5</v>
      </c>
      <c r="AG34" s="12">
        <v>3</v>
      </c>
      <c r="AH34" s="9">
        <f t="shared" si="0"/>
        <v>320</v>
      </c>
      <c r="AI34" s="10">
        <f t="shared" si="1"/>
        <v>277</v>
      </c>
      <c r="AJ34" s="28">
        <f t="shared" si="2"/>
        <v>86.5625</v>
      </c>
      <c r="AK34" s="15"/>
      <c r="AL34" s="15"/>
      <c r="AM34" s="15"/>
      <c r="AN34" s="15"/>
      <c r="AO34" s="15"/>
    </row>
    <row r="35" spans="1:41" ht="15.75" customHeight="1">
      <c r="A35" s="3">
        <v>31</v>
      </c>
      <c r="B35" s="4" t="s">
        <v>85</v>
      </c>
      <c r="C35" s="52" t="s">
        <v>86</v>
      </c>
      <c r="D35" s="6">
        <v>28</v>
      </c>
      <c r="E35" s="7">
        <v>26</v>
      </c>
      <c r="F35" s="8">
        <v>29</v>
      </c>
      <c r="G35" s="22">
        <v>25</v>
      </c>
      <c r="H35" s="9">
        <v>24</v>
      </c>
      <c r="I35" s="10">
        <v>22</v>
      </c>
      <c r="J35" s="6">
        <v>25</v>
      </c>
      <c r="K35" s="7">
        <v>22</v>
      </c>
      <c r="L35" s="11">
        <v>28</v>
      </c>
      <c r="M35" s="6">
        <v>26</v>
      </c>
      <c r="N35" s="12">
        <v>30</v>
      </c>
      <c r="O35" s="12">
        <v>27</v>
      </c>
      <c r="P35" s="6">
        <v>21</v>
      </c>
      <c r="Q35" s="6">
        <v>21</v>
      </c>
      <c r="R35" s="23">
        <v>16</v>
      </c>
      <c r="S35" s="23">
        <v>16</v>
      </c>
      <c r="T35" s="6">
        <v>18</v>
      </c>
      <c r="U35" s="7">
        <v>9</v>
      </c>
      <c r="V35" s="23">
        <v>8</v>
      </c>
      <c r="W35" s="23">
        <v>8</v>
      </c>
      <c r="X35" s="7">
        <v>7</v>
      </c>
      <c r="Y35" s="7">
        <v>6</v>
      </c>
      <c r="Z35" s="13">
        <v>30</v>
      </c>
      <c r="AA35" s="13">
        <v>18</v>
      </c>
      <c r="AB35" s="13">
        <v>15</v>
      </c>
      <c r="AC35" s="7">
        <v>9</v>
      </c>
      <c r="AD35" s="7">
        <v>36</v>
      </c>
      <c r="AE35" s="7">
        <v>34</v>
      </c>
      <c r="AF35" s="8">
        <v>5</v>
      </c>
      <c r="AG35" s="12">
        <v>5</v>
      </c>
      <c r="AH35" s="9">
        <f t="shared" si="0"/>
        <v>320</v>
      </c>
      <c r="AI35" s="10">
        <f t="shared" si="1"/>
        <v>274</v>
      </c>
      <c r="AJ35" s="28">
        <f t="shared" si="2"/>
        <v>85.625</v>
      </c>
      <c r="AK35" s="15"/>
      <c r="AL35" s="15"/>
      <c r="AM35" s="15"/>
      <c r="AN35" s="15"/>
      <c r="AO35" s="15"/>
    </row>
    <row r="36" spans="1:41" ht="15.75" customHeight="1">
      <c r="A36" s="3">
        <v>32</v>
      </c>
      <c r="B36" s="4" t="s">
        <v>87</v>
      </c>
      <c r="C36" s="52" t="s">
        <v>88</v>
      </c>
      <c r="D36" s="6">
        <v>28</v>
      </c>
      <c r="E36" s="7">
        <v>26</v>
      </c>
      <c r="F36" s="8">
        <v>29</v>
      </c>
      <c r="G36" s="22">
        <v>25</v>
      </c>
      <c r="H36" s="9">
        <v>24</v>
      </c>
      <c r="I36" s="10">
        <v>21</v>
      </c>
      <c r="J36" s="6">
        <v>25</v>
      </c>
      <c r="K36" s="7">
        <v>24</v>
      </c>
      <c r="L36" s="11">
        <v>28</v>
      </c>
      <c r="M36" s="6">
        <v>25</v>
      </c>
      <c r="N36" s="12">
        <v>30</v>
      </c>
      <c r="O36" s="12">
        <v>27</v>
      </c>
      <c r="P36" s="6">
        <v>21</v>
      </c>
      <c r="Q36" s="6">
        <v>21</v>
      </c>
      <c r="R36" s="23">
        <v>16</v>
      </c>
      <c r="S36" s="23">
        <v>16</v>
      </c>
      <c r="T36" s="6">
        <v>18</v>
      </c>
      <c r="U36" s="7">
        <v>18</v>
      </c>
      <c r="V36" s="23">
        <v>8</v>
      </c>
      <c r="W36" s="23">
        <v>8</v>
      </c>
      <c r="X36" s="7">
        <v>7</v>
      </c>
      <c r="Y36" s="7">
        <v>7</v>
      </c>
      <c r="Z36" s="13">
        <v>30</v>
      </c>
      <c r="AA36" s="13">
        <v>26</v>
      </c>
      <c r="AB36" s="13">
        <v>15</v>
      </c>
      <c r="AC36" s="7">
        <v>13</v>
      </c>
      <c r="AD36" s="7">
        <v>36</v>
      </c>
      <c r="AE36" s="7">
        <v>33</v>
      </c>
      <c r="AF36" s="8">
        <v>5</v>
      </c>
      <c r="AG36" s="12">
        <v>4</v>
      </c>
      <c r="AH36" s="9">
        <f t="shared" si="0"/>
        <v>320</v>
      </c>
      <c r="AI36" s="10">
        <f t="shared" si="1"/>
        <v>294</v>
      </c>
      <c r="AJ36" s="28">
        <f t="shared" si="2"/>
        <v>91.875</v>
      </c>
      <c r="AK36" s="15"/>
      <c r="AL36" s="15"/>
      <c r="AM36" s="15"/>
      <c r="AN36" s="15"/>
      <c r="AO36" s="15"/>
    </row>
    <row r="37" spans="1:41" ht="15.75" customHeight="1">
      <c r="A37" s="3">
        <v>33</v>
      </c>
      <c r="B37" s="4" t="s">
        <v>89</v>
      </c>
      <c r="C37" s="52" t="s">
        <v>90</v>
      </c>
      <c r="D37" s="6">
        <v>28</v>
      </c>
      <c r="E37" s="7">
        <v>27</v>
      </c>
      <c r="F37" s="8">
        <v>29</v>
      </c>
      <c r="G37" s="22">
        <v>25</v>
      </c>
      <c r="H37" s="9">
        <v>24</v>
      </c>
      <c r="I37" s="10">
        <v>22</v>
      </c>
      <c r="J37" s="6">
        <v>25</v>
      </c>
      <c r="K37" s="7">
        <v>23</v>
      </c>
      <c r="L37" s="11">
        <v>28</v>
      </c>
      <c r="M37" s="6">
        <v>25</v>
      </c>
      <c r="N37" s="12">
        <v>30</v>
      </c>
      <c r="O37" s="12">
        <v>27</v>
      </c>
      <c r="P37" s="6">
        <v>21</v>
      </c>
      <c r="Q37" s="6">
        <v>21</v>
      </c>
      <c r="R37" s="23">
        <v>16</v>
      </c>
      <c r="S37" s="23">
        <v>16</v>
      </c>
      <c r="T37" s="6">
        <v>18</v>
      </c>
      <c r="U37" s="7">
        <v>9</v>
      </c>
      <c r="V37" s="23">
        <v>8</v>
      </c>
      <c r="W37" s="23">
        <v>8</v>
      </c>
      <c r="X37" s="7">
        <v>7</v>
      </c>
      <c r="Y37" s="7">
        <v>6</v>
      </c>
      <c r="Z37" s="13">
        <v>30</v>
      </c>
      <c r="AA37" s="13">
        <v>20</v>
      </c>
      <c r="AB37" s="13">
        <v>15</v>
      </c>
      <c r="AC37" s="7">
        <v>10</v>
      </c>
      <c r="AD37" s="7">
        <v>36</v>
      </c>
      <c r="AE37" s="7">
        <v>33</v>
      </c>
      <c r="AF37" s="8">
        <v>5</v>
      </c>
      <c r="AG37" s="12">
        <v>5</v>
      </c>
      <c r="AH37" s="9">
        <f t="shared" si="0"/>
        <v>320</v>
      </c>
      <c r="AI37" s="10">
        <f t="shared" si="1"/>
        <v>277</v>
      </c>
      <c r="AJ37" s="28">
        <f t="shared" si="2"/>
        <v>86.5625</v>
      </c>
      <c r="AK37" s="15"/>
      <c r="AL37" s="15"/>
      <c r="AM37" s="15"/>
      <c r="AN37" s="15"/>
      <c r="AO37" s="15"/>
    </row>
    <row r="38" spans="1:41" ht="15.75" customHeight="1">
      <c r="A38" s="3">
        <v>34</v>
      </c>
      <c r="B38" s="4" t="s">
        <v>91</v>
      </c>
      <c r="C38" s="52" t="s">
        <v>92</v>
      </c>
      <c r="D38" s="6">
        <v>28</v>
      </c>
      <c r="E38" s="7">
        <v>26</v>
      </c>
      <c r="F38" s="8">
        <v>29</v>
      </c>
      <c r="G38" s="22">
        <v>25</v>
      </c>
      <c r="H38" s="9">
        <v>24</v>
      </c>
      <c r="I38" s="10">
        <v>22</v>
      </c>
      <c r="J38" s="6">
        <v>25</v>
      </c>
      <c r="K38" s="7">
        <v>25</v>
      </c>
      <c r="L38" s="11">
        <v>28</v>
      </c>
      <c r="M38" s="6">
        <v>25</v>
      </c>
      <c r="N38" s="12">
        <v>30</v>
      </c>
      <c r="O38" s="12">
        <v>26</v>
      </c>
      <c r="P38" s="6">
        <v>21</v>
      </c>
      <c r="Q38" s="6">
        <v>21</v>
      </c>
      <c r="R38" s="23">
        <v>16</v>
      </c>
      <c r="S38" s="23">
        <v>16</v>
      </c>
      <c r="T38" s="6">
        <v>18</v>
      </c>
      <c r="U38" s="7">
        <v>15</v>
      </c>
      <c r="V38" s="23">
        <v>8</v>
      </c>
      <c r="W38" s="23">
        <v>8</v>
      </c>
      <c r="X38" s="7">
        <v>7</v>
      </c>
      <c r="Y38" s="7">
        <v>7</v>
      </c>
      <c r="Z38" s="13">
        <v>30</v>
      </c>
      <c r="AA38" s="13">
        <v>24</v>
      </c>
      <c r="AB38" s="13">
        <v>15</v>
      </c>
      <c r="AC38" s="7">
        <v>12</v>
      </c>
      <c r="AD38" s="7">
        <v>36</v>
      </c>
      <c r="AE38" s="7">
        <v>33</v>
      </c>
      <c r="AF38" s="8">
        <v>5</v>
      </c>
      <c r="AG38" s="12">
        <v>5</v>
      </c>
      <c r="AH38" s="9">
        <f t="shared" si="0"/>
        <v>320</v>
      </c>
      <c r="AI38" s="10">
        <f t="shared" si="1"/>
        <v>290</v>
      </c>
      <c r="AJ38" s="28">
        <f t="shared" si="2"/>
        <v>90.625</v>
      </c>
      <c r="AK38" s="15"/>
      <c r="AL38" s="15"/>
      <c r="AM38" s="15"/>
      <c r="AN38" s="15"/>
      <c r="AO38" s="15"/>
    </row>
    <row r="39" spans="1:41" ht="15.75" customHeight="1">
      <c r="A39" s="3">
        <v>35</v>
      </c>
      <c r="B39" s="4" t="s">
        <v>93</v>
      </c>
      <c r="C39" s="52" t="s">
        <v>94</v>
      </c>
      <c r="D39" s="6">
        <v>28</v>
      </c>
      <c r="E39" s="7">
        <v>24</v>
      </c>
      <c r="F39" s="8">
        <v>29</v>
      </c>
      <c r="G39" s="22">
        <v>20</v>
      </c>
      <c r="H39" s="9">
        <v>24</v>
      </c>
      <c r="I39" s="10">
        <v>21</v>
      </c>
      <c r="J39" s="6">
        <v>25</v>
      </c>
      <c r="K39" s="7">
        <v>20</v>
      </c>
      <c r="L39" s="11">
        <v>28</v>
      </c>
      <c r="M39" s="6">
        <v>22</v>
      </c>
      <c r="N39" s="12">
        <v>30</v>
      </c>
      <c r="O39" s="12">
        <v>22</v>
      </c>
      <c r="P39" s="6">
        <v>21</v>
      </c>
      <c r="Q39" s="6">
        <v>15</v>
      </c>
      <c r="R39" s="23">
        <v>16</v>
      </c>
      <c r="S39" s="23">
        <v>14</v>
      </c>
      <c r="T39" s="6">
        <v>18</v>
      </c>
      <c r="U39" s="7">
        <v>12</v>
      </c>
      <c r="V39" s="23">
        <v>8</v>
      </c>
      <c r="W39" s="23">
        <v>7</v>
      </c>
      <c r="X39" s="7">
        <v>7</v>
      </c>
      <c r="Y39" s="7">
        <v>7</v>
      </c>
      <c r="Z39" s="13">
        <v>30</v>
      </c>
      <c r="AA39" s="13">
        <v>22</v>
      </c>
      <c r="AB39" s="13">
        <v>15</v>
      </c>
      <c r="AC39" s="7">
        <v>11</v>
      </c>
      <c r="AD39" s="7">
        <v>36</v>
      </c>
      <c r="AE39" s="7">
        <v>27</v>
      </c>
      <c r="AF39" s="8">
        <v>5</v>
      </c>
      <c r="AG39" s="12">
        <v>5</v>
      </c>
      <c r="AH39" s="9">
        <f t="shared" si="0"/>
        <v>320</v>
      </c>
      <c r="AI39" s="10">
        <f t="shared" si="1"/>
        <v>249</v>
      </c>
      <c r="AJ39" s="28">
        <f t="shared" si="2"/>
        <v>77.8125</v>
      </c>
      <c r="AK39" s="15"/>
      <c r="AL39" s="15"/>
      <c r="AM39" s="15"/>
      <c r="AN39" s="15"/>
      <c r="AO39" s="15"/>
    </row>
    <row r="40" spans="1:41" ht="15.75" customHeight="1">
      <c r="A40" s="3">
        <v>36</v>
      </c>
      <c r="B40" s="4" t="s">
        <v>95</v>
      </c>
      <c r="C40" s="52" t="s">
        <v>96</v>
      </c>
      <c r="D40" s="6">
        <v>28</v>
      </c>
      <c r="E40" s="7">
        <v>23</v>
      </c>
      <c r="F40" s="8">
        <v>29</v>
      </c>
      <c r="G40" s="22">
        <v>21</v>
      </c>
      <c r="H40" s="9">
        <v>24</v>
      </c>
      <c r="I40" s="10">
        <v>19</v>
      </c>
      <c r="J40" s="6">
        <v>25</v>
      </c>
      <c r="K40" s="7">
        <v>17</v>
      </c>
      <c r="L40" s="11">
        <v>28</v>
      </c>
      <c r="M40" s="6">
        <v>22</v>
      </c>
      <c r="N40" s="12">
        <v>30</v>
      </c>
      <c r="O40" s="12">
        <v>23</v>
      </c>
      <c r="P40" s="6">
        <v>21</v>
      </c>
      <c r="Q40" s="6">
        <v>15</v>
      </c>
      <c r="R40" s="23">
        <v>16</v>
      </c>
      <c r="S40" s="23">
        <v>16</v>
      </c>
      <c r="T40" s="6">
        <v>18</v>
      </c>
      <c r="U40" s="7">
        <v>12</v>
      </c>
      <c r="V40" s="23">
        <v>8</v>
      </c>
      <c r="W40" s="23">
        <v>8</v>
      </c>
      <c r="X40" s="7">
        <v>7</v>
      </c>
      <c r="Y40" s="7">
        <v>6</v>
      </c>
      <c r="Z40" s="13">
        <v>30</v>
      </c>
      <c r="AA40" s="13">
        <v>18</v>
      </c>
      <c r="AB40" s="13">
        <v>15</v>
      </c>
      <c r="AC40" s="7">
        <v>9</v>
      </c>
      <c r="AD40" s="7">
        <v>36</v>
      </c>
      <c r="AE40" s="7">
        <v>31</v>
      </c>
      <c r="AF40" s="8">
        <v>5</v>
      </c>
      <c r="AG40" s="12">
        <v>5</v>
      </c>
      <c r="AH40" s="9">
        <f t="shared" si="0"/>
        <v>320</v>
      </c>
      <c r="AI40" s="10">
        <f t="shared" si="1"/>
        <v>245</v>
      </c>
      <c r="AJ40" s="28">
        <f t="shared" si="2"/>
        <v>76.5625</v>
      </c>
      <c r="AK40" s="15"/>
      <c r="AL40" s="15"/>
      <c r="AM40" s="15"/>
      <c r="AN40" s="15"/>
      <c r="AO40" s="15"/>
    </row>
    <row r="41" spans="1:41" ht="15.75" customHeight="1">
      <c r="A41" s="3">
        <v>37</v>
      </c>
      <c r="B41" s="4" t="s">
        <v>97</v>
      </c>
      <c r="C41" s="52" t="s">
        <v>98</v>
      </c>
      <c r="D41" s="6">
        <v>28</v>
      </c>
      <c r="E41" s="7">
        <v>20</v>
      </c>
      <c r="F41" s="8">
        <v>29</v>
      </c>
      <c r="G41" s="22">
        <v>17</v>
      </c>
      <c r="H41" s="9">
        <v>24</v>
      </c>
      <c r="I41" s="10">
        <v>17</v>
      </c>
      <c r="J41" s="6">
        <v>25</v>
      </c>
      <c r="K41" s="7">
        <v>18</v>
      </c>
      <c r="L41" s="11">
        <v>28</v>
      </c>
      <c r="M41" s="6">
        <v>20</v>
      </c>
      <c r="N41" s="12">
        <v>30</v>
      </c>
      <c r="O41" s="12">
        <v>24</v>
      </c>
      <c r="P41" s="6">
        <v>21</v>
      </c>
      <c r="Q41" s="6">
        <v>18</v>
      </c>
      <c r="R41" s="23">
        <v>16</v>
      </c>
      <c r="S41" s="23">
        <v>14</v>
      </c>
      <c r="T41" s="6">
        <v>18</v>
      </c>
      <c r="U41" s="7">
        <v>15</v>
      </c>
      <c r="V41" s="23">
        <v>8</v>
      </c>
      <c r="W41" s="23">
        <v>7</v>
      </c>
      <c r="X41" s="7">
        <v>7</v>
      </c>
      <c r="Y41" s="7">
        <v>7</v>
      </c>
      <c r="Z41" s="13">
        <v>30</v>
      </c>
      <c r="AA41" s="13">
        <v>16</v>
      </c>
      <c r="AB41" s="13">
        <v>15</v>
      </c>
      <c r="AC41" s="7">
        <v>8</v>
      </c>
      <c r="AD41" s="7">
        <v>36</v>
      </c>
      <c r="AE41" s="7">
        <v>22</v>
      </c>
      <c r="AF41" s="8">
        <v>5</v>
      </c>
      <c r="AG41" s="12">
        <v>3</v>
      </c>
      <c r="AH41" s="9">
        <f t="shared" si="0"/>
        <v>320</v>
      </c>
      <c r="AI41" s="10">
        <f t="shared" si="1"/>
        <v>226</v>
      </c>
      <c r="AJ41" s="28">
        <f t="shared" si="2"/>
        <v>70.625</v>
      </c>
      <c r="AK41" s="15"/>
      <c r="AL41" s="15"/>
      <c r="AM41" s="15"/>
      <c r="AN41" s="15"/>
      <c r="AO41" s="15"/>
    </row>
    <row r="42" spans="1:41" ht="15.75" customHeight="1">
      <c r="A42" s="3">
        <v>38</v>
      </c>
      <c r="B42" s="4" t="s">
        <v>99</v>
      </c>
      <c r="C42" s="52" t="s">
        <v>100</v>
      </c>
      <c r="D42" s="6">
        <v>28</v>
      </c>
      <c r="E42" s="7">
        <v>26</v>
      </c>
      <c r="F42" s="8">
        <v>29</v>
      </c>
      <c r="G42" s="22">
        <v>28</v>
      </c>
      <c r="H42" s="9">
        <v>24</v>
      </c>
      <c r="I42" s="10">
        <v>22</v>
      </c>
      <c r="J42" s="6">
        <v>25</v>
      </c>
      <c r="K42" s="7">
        <v>24</v>
      </c>
      <c r="L42" s="11">
        <v>28</v>
      </c>
      <c r="M42" s="6">
        <v>26</v>
      </c>
      <c r="N42" s="12">
        <v>30</v>
      </c>
      <c r="O42" s="12">
        <v>29</v>
      </c>
      <c r="P42" s="6">
        <v>21</v>
      </c>
      <c r="Q42" s="6">
        <v>21</v>
      </c>
      <c r="R42" s="23">
        <v>16</v>
      </c>
      <c r="S42" s="23">
        <v>16</v>
      </c>
      <c r="T42" s="6">
        <v>18</v>
      </c>
      <c r="U42" s="7">
        <v>18</v>
      </c>
      <c r="V42" s="23">
        <v>8</v>
      </c>
      <c r="W42" s="23">
        <v>8</v>
      </c>
      <c r="X42" s="7">
        <v>7</v>
      </c>
      <c r="Y42" s="7">
        <v>7</v>
      </c>
      <c r="Z42" s="13">
        <v>30</v>
      </c>
      <c r="AA42" s="13">
        <v>28</v>
      </c>
      <c r="AB42" s="13">
        <v>15</v>
      </c>
      <c r="AC42" s="7">
        <v>14</v>
      </c>
      <c r="AD42" s="7">
        <v>36</v>
      </c>
      <c r="AE42" s="7">
        <v>36</v>
      </c>
      <c r="AF42" s="8">
        <v>5</v>
      </c>
      <c r="AG42" s="12">
        <v>5</v>
      </c>
      <c r="AH42" s="9">
        <f t="shared" si="0"/>
        <v>320</v>
      </c>
      <c r="AI42" s="10">
        <f t="shared" si="1"/>
        <v>308</v>
      </c>
      <c r="AJ42" s="28">
        <f t="shared" si="2"/>
        <v>96.25</v>
      </c>
      <c r="AK42" s="15"/>
      <c r="AL42" s="15"/>
      <c r="AM42" s="15"/>
      <c r="AN42" s="15"/>
      <c r="AO42" s="15"/>
    </row>
    <row r="43" spans="1:41" ht="15.75" customHeight="1">
      <c r="A43" s="3">
        <v>39</v>
      </c>
      <c r="B43" s="4" t="s">
        <v>101</v>
      </c>
      <c r="C43" s="52" t="s">
        <v>102</v>
      </c>
      <c r="D43" s="6">
        <v>28</v>
      </c>
      <c r="E43" s="7">
        <v>24</v>
      </c>
      <c r="F43" s="8">
        <v>29</v>
      </c>
      <c r="G43" s="22">
        <v>25</v>
      </c>
      <c r="H43" s="9">
        <v>24</v>
      </c>
      <c r="I43" s="10">
        <v>21</v>
      </c>
      <c r="J43" s="6">
        <v>25</v>
      </c>
      <c r="K43" s="7">
        <v>21</v>
      </c>
      <c r="L43" s="11">
        <v>28</v>
      </c>
      <c r="M43" s="6">
        <v>26</v>
      </c>
      <c r="N43" s="12">
        <v>30</v>
      </c>
      <c r="O43" s="12">
        <v>26</v>
      </c>
      <c r="P43" s="6">
        <v>21</v>
      </c>
      <c r="Q43" s="6">
        <v>21</v>
      </c>
      <c r="R43" s="23">
        <v>16</v>
      </c>
      <c r="S43" s="23">
        <v>16</v>
      </c>
      <c r="T43" s="6">
        <v>18</v>
      </c>
      <c r="U43" s="7">
        <v>18</v>
      </c>
      <c r="V43" s="23">
        <v>8</v>
      </c>
      <c r="W43" s="23">
        <v>8</v>
      </c>
      <c r="X43" s="7">
        <v>7</v>
      </c>
      <c r="Y43" s="7">
        <v>5</v>
      </c>
      <c r="Z43" s="13">
        <v>30</v>
      </c>
      <c r="AA43" s="13">
        <v>16</v>
      </c>
      <c r="AB43" s="13">
        <v>15</v>
      </c>
      <c r="AC43" s="7">
        <v>8</v>
      </c>
      <c r="AD43" s="7">
        <v>36</v>
      </c>
      <c r="AE43" s="7">
        <v>36</v>
      </c>
      <c r="AF43" s="8">
        <v>5</v>
      </c>
      <c r="AG43" s="12">
        <v>5</v>
      </c>
      <c r="AH43" s="9">
        <f t="shared" si="0"/>
        <v>320</v>
      </c>
      <c r="AI43" s="10">
        <f t="shared" si="1"/>
        <v>276</v>
      </c>
      <c r="AJ43" s="28">
        <f t="shared" si="2"/>
        <v>86.25</v>
      </c>
      <c r="AK43" s="15"/>
      <c r="AL43" s="15"/>
      <c r="AM43" s="15"/>
      <c r="AN43" s="15"/>
      <c r="AO43" s="15"/>
    </row>
    <row r="44" spans="1:41" ht="15.75" customHeight="1">
      <c r="A44" s="3">
        <v>40</v>
      </c>
      <c r="B44" s="4" t="s">
        <v>103</v>
      </c>
      <c r="C44" s="52" t="s">
        <v>104</v>
      </c>
      <c r="D44" s="6">
        <v>28</v>
      </c>
      <c r="E44" s="7">
        <v>22</v>
      </c>
      <c r="F44" s="8">
        <v>29</v>
      </c>
      <c r="G44" s="22">
        <v>18</v>
      </c>
      <c r="H44" s="9">
        <v>24</v>
      </c>
      <c r="I44" s="10">
        <v>22</v>
      </c>
      <c r="J44" s="6">
        <v>25</v>
      </c>
      <c r="K44" s="7">
        <v>19</v>
      </c>
      <c r="L44" s="11">
        <v>28</v>
      </c>
      <c r="M44" s="6">
        <v>21</v>
      </c>
      <c r="N44" s="12">
        <v>30</v>
      </c>
      <c r="O44" s="12">
        <v>24</v>
      </c>
      <c r="P44" s="6">
        <v>21</v>
      </c>
      <c r="Q44" s="6">
        <v>18</v>
      </c>
      <c r="R44" s="23">
        <v>16</v>
      </c>
      <c r="S44" s="23">
        <v>14</v>
      </c>
      <c r="T44" s="6">
        <v>18</v>
      </c>
      <c r="U44" s="7">
        <v>15</v>
      </c>
      <c r="V44" s="23">
        <v>8</v>
      </c>
      <c r="W44" s="23">
        <v>7</v>
      </c>
      <c r="X44" s="7">
        <v>7</v>
      </c>
      <c r="Y44" s="7">
        <v>7</v>
      </c>
      <c r="Z44" s="13">
        <v>30</v>
      </c>
      <c r="AA44" s="13">
        <v>18</v>
      </c>
      <c r="AB44" s="13">
        <v>15</v>
      </c>
      <c r="AC44" s="7">
        <v>9</v>
      </c>
      <c r="AD44" s="7">
        <v>36</v>
      </c>
      <c r="AE44" s="7">
        <v>16</v>
      </c>
      <c r="AF44" s="8">
        <v>5</v>
      </c>
      <c r="AG44" s="12">
        <v>5</v>
      </c>
      <c r="AH44" s="9">
        <f t="shared" si="0"/>
        <v>320</v>
      </c>
      <c r="AI44" s="10">
        <f t="shared" si="1"/>
        <v>235</v>
      </c>
      <c r="AJ44" s="28">
        <f t="shared" si="2"/>
        <v>73.4375</v>
      </c>
      <c r="AK44" s="15"/>
      <c r="AL44" s="15"/>
      <c r="AM44" s="15"/>
      <c r="AN44" s="15"/>
      <c r="AO44" s="15"/>
    </row>
    <row r="45" spans="1:41" ht="15.75" customHeight="1">
      <c r="A45" s="3">
        <v>41</v>
      </c>
      <c r="B45" s="4" t="s">
        <v>105</v>
      </c>
      <c r="C45" s="52" t="s">
        <v>106</v>
      </c>
      <c r="D45" s="6">
        <v>28</v>
      </c>
      <c r="E45" s="7">
        <v>24</v>
      </c>
      <c r="F45" s="8">
        <v>29</v>
      </c>
      <c r="G45" s="22">
        <v>20</v>
      </c>
      <c r="H45" s="9">
        <v>24</v>
      </c>
      <c r="I45" s="10">
        <v>20</v>
      </c>
      <c r="J45" s="6">
        <v>25</v>
      </c>
      <c r="K45" s="7">
        <v>18</v>
      </c>
      <c r="L45" s="11">
        <v>28</v>
      </c>
      <c r="M45" s="6">
        <v>24</v>
      </c>
      <c r="N45" s="12">
        <v>30</v>
      </c>
      <c r="O45" s="12">
        <v>26</v>
      </c>
      <c r="P45" s="6">
        <v>21</v>
      </c>
      <c r="Q45" s="6">
        <v>18</v>
      </c>
      <c r="R45" s="23">
        <v>16</v>
      </c>
      <c r="S45" s="23">
        <v>16</v>
      </c>
      <c r="T45" s="6">
        <v>18</v>
      </c>
      <c r="U45" s="7">
        <v>18</v>
      </c>
      <c r="V45" s="23">
        <v>8</v>
      </c>
      <c r="W45" s="23">
        <v>8</v>
      </c>
      <c r="X45" s="7">
        <v>7</v>
      </c>
      <c r="Y45" s="7">
        <v>6</v>
      </c>
      <c r="Z45" s="13">
        <v>30</v>
      </c>
      <c r="AA45" s="13">
        <v>18</v>
      </c>
      <c r="AB45" s="13">
        <v>15</v>
      </c>
      <c r="AC45" s="7">
        <v>9</v>
      </c>
      <c r="AD45" s="7">
        <v>36</v>
      </c>
      <c r="AE45" s="7">
        <v>30</v>
      </c>
      <c r="AF45" s="8">
        <v>5</v>
      </c>
      <c r="AG45" s="12">
        <v>5</v>
      </c>
      <c r="AH45" s="9">
        <f t="shared" si="0"/>
        <v>320</v>
      </c>
      <c r="AI45" s="10">
        <f t="shared" si="1"/>
        <v>260</v>
      </c>
      <c r="AJ45" s="28">
        <f t="shared" si="2"/>
        <v>81.25</v>
      </c>
      <c r="AK45" s="15"/>
      <c r="AL45" s="15"/>
      <c r="AM45" s="15"/>
      <c r="AN45" s="15"/>
      <c r="AO45" s="15"/>
    </row>
    <row r="46" spans="1:41" ht="15.75" customHeight="1">
      <c r="A46" s="3">
        <v>42</v>
      </c>
      <c r="B46" s="4" t="s">
        <v>107</v>
      </c>
      <c r="C46" s="52" t="s">
        <v>108</v>
      </c>
      <c r="D46" s="6">
        <v>28</v>
      </c>
      <c r="E46" s="7">
        <v>26</v>
      </c>
      <c r="F46" s="8">
        <v>29</v>
      </c>
      <c r="G46" s="22">
        <v>28</v>
      </c>
      <c r="H46" s="9">
        <v>24</v>
      </c>
      <c r="I46" s="10">
        <v>24</v>
      </c>
      <c r="J46" s="6">
        <v>25</v>
      </c>
      <c r="K46" s="7">
        <v>24</v>
      </c>
      <c r="L46" s="11">
        <v>28</v>
      </c>
      <c r="M46" s="6">
        <v>28</v>
      </c>
      <c r="N46" s="12">
        <v>30</v>
      </c>
      <c r="O46" s="12">
        <v>27</v>
      </c>
      <c r="P46" s="6">
        <v>21</v>
      </c>
      <c r="Q46" s="6">
        <v>18</v>
      </c>
      <c r="R46" s="23">
        <v>16</v>
      </c>
      <c r="S46" s="23">
        <v>14</v>
      </c>
      <c r="T46" s="6">
        <v>18</v>
      </c>
      <c r="U46" s="7">
        <v>18</v>
      </c>
      <c r="V46" s="23">
        <v>8</v>
      </c>
      <c r="W46" s="23">
        <v>7</v>
      </c>
      <c r="X46" s="7">
        <v>7</v>
      </c>
      <c r="Y46" s="7">
        <v>7</v>
      </c>
      <c r="Z46" s="13">
        <v>30</v>
      </c>
      <c r="AA46" s="13">
        <v>26</v>
      </c>
      <c r="AB46" s="13">
        <v>15</v>
      </c>
      <c r="AC46" s="7">
        <v>13</v>
      </c>
      <c r="AD46" s="7">
        <v>36</v>
      </c>
      <c r="AE46" s="7">
        <v>36</v>
      </c>
      <c r="AF46" s="8">
        <v>5</v>
      </c>
      <c r="AG46" s="12">
        <v>5</v>
      </c>
      <c r="AH46" s="9">
        <f t="shared" si="0"/>
        <v>320</v>
      </c>
      <c r="AI46" s="10">
        <f t="shared" si="1"/>
        <v>301</v>
      </c>
      <c r="AJ46" s="28">
        <f t="shared" si="2"/>
        <v>94.0625</v>
      </c>
      <c r="AK46" s="15"/>
      <c r="AL46" s="15"/>
      <c r="AM46" s="15"/>
      <c r="AN46" s="15"/>
      <c r="AO46" s="15"/>
    </row>
    <row r="47" spans="1:41" ht="15.75" customHeight="1">
      <c r="A47" s="3">
        <v>43</v>
      </c>
      <c r="B47" s="4" t="s">
        <v>109</v>
      </c>
      <c r="C47" s="52" t="s">
        <v>110</v>
      </c>
      <c r="D47" s="6">
        <v>28</v>
      </c>
      <c r="E47" s="7">
        <v>26</v>
      </c>
      <c r="F47" s="8">
        <v>29</v>
      </c>
      <c r="G47" s="22">
        <v>27</v>
      </c>
      <c r="H47" s="9">
        <v>24</v>
      </c>
      <c r="I47" s="10">
        <v>22</v>
      </c>
      <c r="J47" s="6">
        <v>25</v>
      </c>
      <c r="K47" s="7">
        <v>21</v>
      </c>
      <c r="L47" s="11">
        <v>28</v>
      </c>
      <c r="M47" s="6">
        <v>26</v>
      </c>
      <c r="N47" s="12">
        <v>30</v>
      </c>
      <c r="O47" s="12">
        <v>26</v>
      </c>
      <c r="P47" s="6">
        <v>21</v>
      </c>
      <c r="Q47" s="6">
        <v>21</v>
      </c>
      <c r="R47" s="23">
        <v>16</v>
      </c>
      <c r="S47" s="23">
        <v>16</v>
      </c>
      <c r="T47" s="6">
        <v>18</v>
      </c>
      <c r="U47" s="7">
        <v>12</v>
      </c>
      <c r="V47" s="23">
        <v>8</v>
      </c>
      <c r="W47" s="23">
        <v>8</v>
      </c>
      <c r="X47" s="7">
        <v>7</v>
      </c>
      <c r="Y47" s="7">
        <v>6</v>
      </c>
      <c r="Z47" s="13">
        <v>30</v>
      </c>
      <c r="AA47" s="13">
        <v>18</v>
      </c>
      <c r="AB47" s="13">
        <v>15</v>
      </c>
      <c r="AC47" s="7">
        <v>9</v>
      </c>
      <c r="AD47" s="7">
        <v>36</v>
      </c>
      <c r="AE47" s="7">
        <v>36</v>
      </c>
      <c r="AF47" s="8">
        <v>5</v>
      </c>
      <c r="AG47" s="12">
        <v>5</v>
      </c>
      <c r="AH47" s="9">
        <f t="shared" si="0"/>
        <v>320</v>
      </c>
      <c r="AI47" s="10">
        <f t="shared" si="1"/>
        <v>279</v>
      </c>
      <c r="AJ47" s="28">
        <f t="shared" si="2"/>
        <v>87.1875</v>
      </c>
      <c r="AK47" s="15"/>
      <c r="AL47" s="15"/>
      <c r="AM47" s="15"/>
      <c r="AN47" s="15"/>
      <c r="AO47" s="15"/>
    </row>
    <row r="48" spans="1:41" ht="15.75" customHeight="1">
      <c r="A48" s="3">
        <v>44</v>
      </c>
      <c r="B48" s="4" t="s">
        <v>111</v>
      </c>
      <c r="C48" s="52" t="s">
        <v>112</v>
      </c>
      <c r="D48" s="6">
        <v>28</v>
      </c>
      <c r="E48" s="7">
        <v>27</v>
      </c>
      <c r="F48" s="8">
        <v>29</v>
      </c>
      <c r="G48" s="22">
        <v>25</v>
      </c>
      <c r="H48" s="9">
        <v>24</v>
      </c>
      <c r="I48" s="18">
        <v>23</v>
      </c>
      <c r="J48" s="6">
        <v>25</v>
      </c>
      <c r="K48" s="7">
        <v>24</v>
      </c>
      <c r="L48" s="11">
        <v>28</v>
      </c>
      <c r="M48" s="6">
        <v>26</v>
      </c>
      <c r="N48" s="12">
        <v>30</v>
      </c>
      <c r="O48" s="12">
        <v>26</v>
      </c>
      <c r="P48" s="6">
        <v>21</v>
      </c>
      <c r="Q48" s="6">
        <v>21</v>
      </c>
      <c r="R48" s="23">
        <v>16</v>
      </c>
      <c r="S48" s="23">
        <v>16</v>
      </c>
      <c r="T48" s="6">
        <v>18</v>
      </c>
      <c r="U48" s="7">
        <v>18</v>
      </c>
      <c r="V48" s="23">
        <v>8</v>
      </c>
      <c r="W48" s="23">
        <v>8</v>
      </c>
      <c r="X48" s="7">
        <v>7</v>
      </c>
      <c r="Y48" s="7">
        <v>7</v>
      </c>
      <c r="Z48" s="13">
        <v>30</v>
      </c>
      <c r="AA48" s="13">
        <v>24</v>
      </c>
      <c r="AB48" s="13">
        <v>15</v>
      </c>
      <c r="AC48" s="7">
        <v>12</v>
      </c>
      <c r="AD48" s="7">
        <v>36</v>
      </c>
      <c r="AE48" s="7">
        <v>33</v>
      </c>
      <c r="AF48" s="8">
        <v>5</v>
      </c>
      <c r="AG48" s="12">
        <v>5</v>
      </c>
      <c r="AH48" s="9">
        <f t="shared" si="0"/>
        <v>320</v>
      </c>
      <c r="AI48" s="10">
        <f t="shared" si="1"/>
        <v>295</v>
      </c>
      <c r="AJ48" s="28">
        <f t="shared" si="2"/>
        <v>92.1875</v>
      </c>
      <c r="AK48" s="15"/>
      <c r="AL48" s="15"/>
      <c r="AM48" s="15"/>
      <c r="AN48" s="15"/>
      <c r="AO48" s="15"/>
    </row>
    <row r="49" spans="1:41" ht="15.75" customHeight="1">
      <c r="A49" s="1"/>
      <c r="B49" s="1"/>
      <c r="C49" s="53"/>
      <c r="D49" s="29" t="s">
        <v>113</v>
      </c>
      <c r="E49" s="30"/>
      <c r="F49" s="29" t="s">
        <v>114</v>
      </c>
      <c r="G49" s="30"/>
      <c r="H49" s="47" t="s">
        <v>123</v>
      </c>
      <c r="I49" s="30"/>
      <c r="J49" s="29" t="s">
        <v>116</v>
      </c>
      <c r="K49" s="30"/>
      <c r="L49" s="29" t="s">
        <v>130</v>
      </c>
      <c r="M49" s="30"/>
      <c r="N49" s="20" t="s">
        <v>118</v>
      </c>
      <c r="O49" s="21"/>
      <c r="P49" s="29" t="s">
        <v>130</v>
      </c>
      <c r="Q49" s="30"/>
      <c r="R49" s="29" t="s">
        <v>119</v>
      </c>
      <c r="S49" s="30"/>
      <c r="T49" s="29" t="s">
        <v>116</v>
      </c>
      <c r="U49" s="30"/>
      <c r="V49" s="29" t="s">
        <v>119</v>
      </c>
      <c r="W49" s="30"/>
      <c r="X49" s="29" t="s">
        <v>120</v>
      </c>
      <c r="Y49" s="30"/>
      <c r="Z49" s="29" t="s">
        <v>121</v>
      </c>
      <c r="AA49" s="30"/>
      <c r="AB49" s="29" t="s">
        <v>122</v>
      </c>
      <c r="AC49" s="30"/>
      <c r="AD49" s="29"/>
      <c r="AE49" s="42"/>
      <c r="AF49" s="30"/>
      <c r="AG49" s="1" t="s">
        <v>136</v>
      </c>
      <c r="AH49" s="1"/>
      <c r="AI49" s="1"/>
      <c r="AJ49" s="1"/>
      <c r="AK49" s="1"/>
      <c r="AL49" s="1"/>
      <c r="AM49" s="1"/>
      <c r="AN49" s="1"/>
      <c r="AO49" s="1"/>
    </row>
    <row r="50" spans="1:41" ht="15.75" customHeight="1">
      <c r="A50" s="1"/>
      <c r="B50" s="1"/>
      <c r="C50" s="53"/>
      <c r="D50" s="31"/>
      <c r="E50" s="30"/>
      <c r="F50" s="31"/>
      <c r="G50" s="30"/>
      <c r="H50" s="31"/>
      <c r="I50" s="30"/>
      <c r="J50" s="31"/>
      <c r="K50" s="30"/>
      <c r="L50" s="31"/>
      <c r="M50" s="30"/>
      <c r="N50" s="31"/>
      <c r="O50" s="30"/>
      <c r="P50" s="31"/>
      <c r="Q50" s="30"/>
      <c r="R50" s="31"/>
      <c r="S50" s="30"/>
      <c r="T50" s="6"/>
      <c r="U50" s="27"/>
      <c r="V50" s="31"/>
      <c r="W50" s="30"/>
      <c r="X50" s="31"/>
      <c r="Y50" s="30"/>
      <c r="Z50" s="31"/>
      <c r="AA50" s="30"/>
      <c r="AB50" s="31"/>
      <c r="AC50" s="30"/>
      <c r="AD50" s="43"/>
      <c r="AE50" s="44"/>
      <c r="AF50" s="45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1"/>
      <c r="C51" s="5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1" ht="15.75" customHeight="1">
      <c r="A52" s="1"/>
      <c r="B52" s="1"/>
      <c r="C52" s="5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1" ht="15.75" customHeight="1">
      <c r="A53" s="1"/>
      <c r="B53" s="1"/>
      <c r="C53" s="5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1" ht="15.75" customHeight="1">
      <c r="A54" s="1"/>
      <c r="B54" s="1"/>
      <c r="C54" s="41" t="s">
        <v>124</v>
      </c>
      <c r="D54" s="35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1" t="s">
        <v>125</v>
      </c>
      <c r="AB54" s="35"/>
      <c r="AC54" s="35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1" ht="15.75" customHeight="1">
      <c r="A55" s="1"/>
      <c r="B55" s="1"/>
      <c r="C55" s="35"/>
      <c r="D55" s="35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5"/>
      <c r="AB55" s="35"/>
      <c r="AC55" s="35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1" ht="15.75" customHeight="1">
      <c r="A56" s="1"/>
      <c r="B56" s="1"/>
      <c r="C56" s="41" t="s">
        <v>126</v>
      </c>
      <c r="D56" s="3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41" t="s">
        <v>127</v>
      </c>
      <c r="Z56" s="35"/>
      <c r="AA56" s="35"/>
      <c r="AB56" s="35"/>
      <c r="AC56" s="35"/>
      <c r="AD56" s="35"/>
      <c r="AE56" s="35"/>
      <c r="AF56" s="1"/>
      <c r="AG56" s="1"/>
      <c r="AH56" s="1"/>
      <c r="AI56" s="1"/>
      <c r="AJ56" s="1"/>
      <c r="AK56" s="1"/>
      <c r="AL56" s="1"/>
      <c r="AM56" s="1"/>
      <c r="AN56" s="1"/>
    </row>
    <row r="57" spans="1:41" ht="15.75" customHeight="1">
      <c r="A57" s="1"/>
      <c r="B57" s="1"/>
      <c r="C57" s="5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1" ht="15.75" customHeight="1">
      <c r="A58" s="1"/>
      <c r="B58" s="1"/>
      <c r="C58" s="5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1"/>
      <c r="C59" s="5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1"/>
      <c r="C60" s="5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1"/>
      <c r="C61" s="5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1"/>
      <c r="C62" s="5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1"/>
      <c r="C63" s="5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1"/>
      <c r="C64" s="5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1"/>
      <c r="C65" s="5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1"/>
      <c r="C66" s="5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1"/>
      <c r="C67" s="5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1"/>
      <c r="C68" s="5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1"/>
      <c r="C69" s="5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1"/>
      <c r="C70" s="5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1"/>
      <c r="C71" s="5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1"/>
      <c r="C72" s="5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1"/>
      <c r="C73" s="5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1"/>
      <c r="C74" s="5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1"/>
      <c r="C75" s="5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1"/>
      <c r="C76" s="5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1"/>
      <c r="C77" s="5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1"/>
      <c r="C78" s="5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1"/>
      <c r="C79" s="5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1"/>
      <c r="C80" s="5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1"/>
      <c r="C81" s="5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1"/>
      <c r="C82" s="5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5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5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5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5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5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5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5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5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5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5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5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5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5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5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5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5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5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5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5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5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5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5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5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5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5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5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5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5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5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5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5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5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5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5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5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5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5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5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5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5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5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5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5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5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5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5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5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5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5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5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5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5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5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5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5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5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5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5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5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5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5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5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5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5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5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5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5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5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5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5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5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5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5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5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5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5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5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5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5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5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5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5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5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5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5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5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5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5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5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5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5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5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5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5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5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5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5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5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5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5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5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5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5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5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5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5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5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5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5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5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5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5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5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5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5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5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5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5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5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5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5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5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5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5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5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5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5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5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5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5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5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5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5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5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5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5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5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5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5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5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5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5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5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5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5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5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5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5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5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5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5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5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5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5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5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5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5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5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5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5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5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5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5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5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5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5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5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5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5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5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5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5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5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5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2">
    <mergeCell ref="L50:M50"/>
    <mergeCell ref="C54:E55"/>
    <mergeCell ref="C56:E56"/>
    <mergeCell ref="H3:I3"/>
    <mergeCell ref="J3:K3"/>
    <mergeCell ref="D49:E49"/>
    <mergeCell ref="F49:G49"/>
    <mergeCell ref="H49:I49"/>
    <mergeCell ref="J49:K49"/>
    <mergeCell ref="D50:E50"/>
    <mergeCell ref="F50:G50"/>
    <mergeCell ref="H50:I50"/>
    <mergeCell ref="J50:K50"/>
    <mergeCell ref="L49:M49"/>
    <mergeCell ref="AB50:AC50"/>
    <mergeCell ref="AD50:AF50"/>
    <mergeCell ref="AA54:AC55"/>
    <mergeCell ref="Y56:AE56"/>
    <mergeCell ref="Z49:AA49"/>
    <mergeCell ref="AB49:AC49"/>
    <mergeCell ref="AD49:AF49"/>
    <mergeCell ref="N50:O50"/>
    <mergeCell ref="P50:Q50"/>
    <mergeCell ref="R50:S50"/>
    <mergeCell ref="V50:W50"/>
    <mergeCell ref="P49:Q49"/>
    <mergeCell ref="R49:S49"/>
    <mergeCell ref="T49:U49"/>
    <mergeCell ref="V49:W49"/>
    <mergeCell ref="AF3:AG3"/>
    <mergeCell ref="AH3:AI3"/>
    <mergeCell ref="L3:M3"/>
    <mergeCell ref="N3:O3"/>
    <mergeCell ref="T3:U3"/>
    <mergeCell ref="V3:W3"/>
    <mergeCell ref="X3:Y3"/>
    <mergeCell ref="X49:Y49"/>
    <mergeCell ref="X50:Y50"/>
    <mergeCell ref="Z50:AA50"/>
    <mergeCell ref="AJ3:AJ4"/>
    <mergeCell ref="A1:AF1"/>
    <mergeCell ref="A2:AF2"/>
    <mergeCell ref="A3:A4"/>
    <mergeCell ref="B3:B4"/>
    <mergeCell ref="C3:C4"/>
    <mergeCell ref="D3:E3"/>
    <mergeCell ref="F3:G3"/>
    <mergeCell ref="P3:Q3"/>
    <mergeCell ref="R3:S3"/>
    <mergeCell ref="Z3:AA3"/>
    <mergeCell ref="AB3:AC3"/>
    <mergeCell ref="AD3:AE3"/>
  </mergeCells>
  <phoneticPr fontId="26" type="noConversion"/>
  <hyperlinks>
    <hyperlink ref="A3" r:id="rId1" xr:uid="{00000000-0004-0000-0300-000000000000}"/>
    <hyperlink ref="B3" r:id="rId2" display="Reg.No." xr:uid="{00000000-0004-0000-0300-000001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D797-BDD2-4A0C-9CAA-B5D1EFECDA23}">
  <dimension ref="A1:C45"/>
  <sheetViews>
    <sheetView tabSelected="1" workbookViewId="0">
      <selection activeCell="F7" sqref="F7"/>
    </sheetView>
  </sheetViews>
  <sheetFormatPr defaultRowHeight="13.2"/>
  <cols>
    <col min="1" max="1" width="11.77734375" customWidth="1"/>
    <col min="2" max="2" width="27.5546875" customWidth="1"/>
  </cols>
  <sheetData>
    <row r="1" spans="1:3" ht="29.4" customHeight="1">
      <c r="A1" s="56" t="s">
        <v>138</v>
      </c>
      <c r="B1" s="56"/>
      <c r="C1" s="56"/>
    </row>
    <row r="2" spans="1:3" ht="21">
      <c r="A2" s="4" t="s">
        <v>25</v>
      </c>
      <c r="B2" s="51" t="s">
        <v>26</v>
      </c>
    </row>
    <row r="3" spans="1:3" ht="21">
      <c r="A3" s="4" t="s">
        <v>27</v>
      </c>
      <c r="B3" s="51" t="s">
        <v>28</v>
      </c>
    </row>
    <row r="4" spans="1:3" ht="21">
      <c r="A4" s="4" t="s">
        <v>29</v>
      </c>
      <c r="B4" s="51" t="s">
        <v>30</v>
      </c>
    </row>
    <row r="5" spans="1:3" ht="28.8">
      <c r="A5" s="4" t="s">
        <v>31</v>
      </c>
      <c r="B5" s="51" t="s">
        <v>32</v>
      </c>
    </row>
    <row r="6" spans="1:3" ht="21">
      <c r="A6" s="4" t="s">
        <v>33</v>
      </c>
      <c r="B6" s="51" t="s">
        <v>34</v>
      </c>
    </row>
    <row r="7" spans="1:3" ht="28.8">
      <c r="A7" s="4" t="s">
        <v>35</v>
      </c>
      <c r="B7" s="51" t="s">
        <v>36</v>
      </c>
    </row>
    <row r="8" spans="1:3" ht="21">
      <c r="A8" s="4" t="s">
        <v>37</v>
      </c>
      <c r="B8" s="51" t="s">
        <v>38</v>
      </c>
    </row>
    <row r="9" spans="1:3" ht="21">
      <c r="A9" s="4" t="s">
        <v>39</v>
      </c>
      <c r="B9" s="51" t="s">
        <v>40</v>
      </c>
    </row>
    <row r="10" spans="1:3" ht="28.8">
      <c r="A10" s="4" t="s">
        <v>41</v>
      </c>
      <c r="B10" s="51" t="s">
        <v>42</v>
      </c>
    </row>
    <row r="11" spans="1:3" ht="21">
      <c r="A11" s="4" t="s">
        <v>43</v>
      </c>
      <c r="B11" s="51" t="s">
        <v>44</v>
      </c>
    </row>
    <row r="12" spans="1:3" ht="28.8">
      <c r="A12" s="4" t="s">
        <v>45</v>
      </c>
      <c r="B12" s="51" t="s">
        <v>46</v>
      </c>
    </row>
    <row r="13" spans="1:3" ht="21">
      <c r="A13" s="4" t="s">
        <v>47</v>
      </c>
      <c r="B13" s="51" t="s">
        <v>48</v>
      </c>
    </row>
    <row r="14" spans="1:3" ht="28.8">
      <c r="A14" s="4" t="s">
        <v>49</v>
      </c>
      <c r="B14" s="51" t="s">
        <v>50</v>
      </c>
    </row>
    <row r="15" spans="1:3" ht="28.8">
      <c r="A15" s="4" t="s">
        <v>51</v>
      </c>
      <c r="B15" s="51" t="s">
        <v>52</v>
      </c>
    </row>
    <row r="16" spans="1:3" ht="21">
      <c r="A16" s="4" t="s">
        <v>53</v>
      </c>
      <c r="B16" s="51" t="s">
        <v>54</v>
      </c>
    </row>
    <row r="17" spans="1:2" ht="28.8">
      <c r="A17" s="4" t="s">
        <v>55</v>
      </c>
      <c r="B17" s="51" t="s">
        <v>56</v>
      </c>
    </row>
    <row r="18" spans="1:2" ht="28.8">
      <c r="A18" s="4" t="s">
        <v>57</v>
      </c>
      <c r="B18" s="51" t="s">
        <v>58</v>
      </c>
    </row>
    <row r="19" spans="1:2" ht="28.8">
      <c r="A19" s="4" t="s">
        <v>59</v>
      </c>
      <c r="B19" s="51" t="s">
        <v>60</v>
      </c>
    </row>
    <row r="20" spans="1:2" ht="21">
      <c r="A20" s="4" t="s">
        <v>61</v>
      </c>
      <c r="B20" s="51" t="s">
        <v>62</v>
      </c>
    </row>
    <row r="21" spans="1:2" ht="21">
      <c r="A21" s="4" t="s">
        <v>63</v>
      </c>
      <c r="B21" s="51" t="s">
        <v>64</v>
      </c>
    </row>
    <row r="22" spans="1:2" ht="38.4">
      <c r="A22" s="4" t="s">
        <v>65</v>
      </c>
      <c r="B22" s="51" t="s">
        <v>66</v>
      </c>
    </row>
    <row r="23" spans="1:2" ht="21">
      <c r="A23" s="4" t="s">
        <v>67</v>
      </c>
      <c r="B23" s="51" t="s">
        <v>68</v>
      </c>
    </row>
    <row r="24" spans="1:2" ht="28.8">
      <c r="A24" s="4" t="s">
        <v>69</v>
      </c>
      <c r="B24" s="51" t="s">
        <v>70</v>
      </c>
    </row>
    <row r="25" spans="1:2" ht="28.8">
      <c r="A25" s="4" t="s">
        <v>71</v>
      </c>
      <c r="B25" s="51" t="s">
        <v>72</v>
      </c>
    </row>
    <row r="26" spans="1:2" ht="21">
      <c r="A26" s="4" t="s">
        <v>73</v>
      </c>
      <c r="B26" s="52" t="s">
        <v>74</v>
      </c>
    </row>
    <row r="27" spans="1:2" ht="21">
      <c r="A27" s="4" t="s">
        <v>75</v>
      </c>
      <c r="B27" s="52" t="s">
        <v>76</v>
      </c>
    </row>
    <row r="28" spans="1:2" ht="28.8">
      <c r="A28" s="4" t="s">
        <v>77</v>
      </c>
      <c r="B28" s="52" t="s">
        <v>78</v>
      </c>
    </row>
    <row r="29" spans="1:2" ht="28.8">
      <c r="A29" s="4" t="s">
        <v>79</v>
      </c>
      <c r="B29" s="52" t="s">
        <v>80</v>
      </c>
    </row>
    <row r="30" spans="1:2" ht="28.8">
      <c r="A30" s="4" t="s">
        <v>81</v>
      </c>
      <c r="B30" s="52" t="s">
        <v>82</v>
      </c>
    </row>
    <row r="31" spans="1:2" ht="21">
      <c r="A31" s="4" t="s">
        <v>83</v>
      </c>
      <c r="B31" s="52" t="s">
        <v>84</v>
      </c>
    </row>
    <row r="32" spans="1:2" ht="28.8">
      <c r="A32" s="4" t="s">
        <v>85</v>
      </c>
      <c r="B32" s="52" t="s">
        <v>86</v>
      </c>
    </row>
    <row r="33" spans="1:2" ht="28.8">
      <c r="A33" s="4" t="s">
        <v>87</v>
      </c>
      <c r="B33" s="52" t="s">
        <v>88</v>
      </c>
    </row>
    <row r="34" spans="1:2" ht="21">
      <c r="A34" s="4" t="s">
        <v>89</v>
      </c>
      <c r="B34" s="52" t="s">
        <v>90</v>
      </c>
    </row>
    <row r="35" spans="1:2" ht="28.8">
      <c r="A35" s="4" t="s">
        <v>91</v>
      </c>
      <c r="B35" s="52" t="s">
        <v>92</v>
      </c>
    </row>
    <row r="36" spans="1:2" ht="21">
      <c r="A36" s="4" t="s">
        <v>93</v>
      </c>
      <c r="B36" s="52" t="s">
        <v>94</v>
      </c>
    </row>
    <row r="37" spans="1:2" ht="21">
      <c r="A37" s="4" t="s">
        <v>95</v>
      </c>
      <c r="B37" s="52" t="s">
        <v>96</v>
      </c>
    </row>
    <row r="38" spans="1:2" ht="21">
      <c r="A38" s="4" t="s">
        <v>97</v>
      </c>
      <c r="B38" s="52" t="s">
        <v>98</v>
      </c>
    </row>
    <row r="39" spans="1:2" ht="21">
      <c r="A39" s="4" t="s">
        <v>99</v>
      </c>
      <c r="B39" s="52" t="s">
        <v>100</v>
      </c>
    </row>
    <row r="40" spans="1:2" ht="21">
      <c r="A40" s="4" t="s">
        <v>101</v>
      </c>
      <c r="B40" s="52" t="s">
        <v>102</v>
      </c>
    </row>
    <row r="41" spans="1:2" ht="28.8">
      <c r="A41" s="4" t="s">
        <v>103</v>
      </c>
      <c r="B41" s="52" t="s">
        <v>104</v>
      </c>
    </row>
    <row r="42" spans="1:2" ht="28.8">
      <c r="A42" s="4" t="s">
        <v>105</v>
      </c>
      <c r="B42" s="52" t="s">
        <v>106</v>
      </c>
    </row>
    <row r="43" spans="1:2" ht="38.4">
      <c r="A43" s="4" t="s">
        <v>107</v>
      </c>
      <c r="B43" s="52" t="s">
        <v>108</v>
      </c>
    </row>
    <row r="44" spans="1:2" ht="28.8">
      <c r="A44" s="4" t="s">
        <v>109</v>
      </c>
      <c r="B44" s="52" t="s">
        <v>110</v>
      </c>
    </row>
    <row r="45" spans="1:2" ht="38.4">
      <c r="A45" s="4" t="s">
        <v>111</v>
      </c>
      <c r="B45" s="52" t="s">
        <v>112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15-12-2025</vt:lpstr>
      <vt:lpstr>31-12-2025</vt:lpstr>
      <vt:lpstr>10-01-2026</vt:lpstr>
      <vt:lpstr> 31-01-2026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 NARLAPATI</dc:creator>
  <cp:lastModifiedBy>RAMU NARLAPATI</cp:lastModifiedBy>
  <dcterms:created xsi:type="dcterms:W3CDTF">2026-02-07T18:30:14Z</dcterms:created>
  <dcterms:modified xsi:type="dcterms:W3CDTF">2026-02-07T18:30:22Z</dcterms:modified>
</cp:coreProperties>
</file>